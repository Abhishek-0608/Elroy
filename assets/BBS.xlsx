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10" windowWidth="27795" windowHeight="122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247" i="1" l="1"/>
  <c r="H247" i="1"/>
  <c r="G247" i="1"/>
  <c r="F247" i="1"/>
  <c r="F210" i="1"/>
  <c r="G210" i="1" s="1"/>
  <c r="G211" i="1" s="1"/>
  <c r="G213" i="1" s="1"/>
  <c r="F209" i="1"/>
  <c r="I209" i="1" s="1"/>
  <c r="I211" i="1" s="1"/>
  <c r="I213" i="1" s="1"/>
  <c r="F208" i="1"/>
  <c r="H208" i="1" s="1"/>
  <c r="H211" i="1" s="1"/>
  <c r="H213" i="1" s="1"/>
  <c r="L211" i="1"/>
  <c r="L213" i="1" s="1"/>
  <c r="K211" i="1"/>
  <c r="K213" i="1" s="1"/>
  <c r="J211" i="1"/>
  <c r="J213" i="1" s="1"/>
  <c r="G214" i="1" l="1"/>
  <c r="G215" i="1" s="1"/>
  <c r="H214" i="1"/>
  <c r="H215" i="1" s="1"/>
  <c r="J214" i="1"/>
  <c r="J215" i="1" s="1"/>
  <c r="L214" i="1"/>
  <c r="L215" i="1" s="1"/>
  <c r="I214" i="1"/>
  <c r="I215" i="1" s="1"/>
  <c r="K214" i="1"/>
  <c r="K215" i="1" s="1"/>
  <c r="F159" i="1"/>
  <c r="G159" i="1" s="1"/>
  <c r="F158" i="1"/>
  <c r="H158" i="1" s="1"/>
  <c r="F194" i="1"/>
  <c r="G194" i="1" s="1"/>
  <c r="F193" i="1"/>
  <c r="G193" i="1" s="1"/>
  <c r="F192" i="1"/>
  <c r="G192" i="1" s="1"/>
  <c r="F191" i="1"/>
  <c r="G191" i="1" s="1"/>
  <c r="L195" i="1"/>
  <c r="L197" i="1" s="1"/>
  <c r="K195" i="1"/>
  <c r="K197" i="1" s="1"/>
  <c r="J195" i="1"/>
  <c r="J197" i="1" s="1"/>
  <c r="H195" i="1"/>
  <c r="H197" i="1" s="1"/>
  <c r="I195" i="1"/>
  <c r="I197" i="1" s="1"/>
  <c r="F181" i="1"/>
  <c r="F180" i="1"/>
  <c r="I180" i="1" s="1"/>
  <c r="F176" i="1"/>
  <c r="I176" i="1" s="1"/>
  <c r="F177" i="1"/>
  <c r="I177" i="1" s="1"/>
  <c r="F178" i="1"/>
  <c r="I178" i="1" s="1"/>
  <c r="F179" i="1"/>
  <c r="I179" i="1" s="1"/>
  <c r="F175" i="1"/>
  <c r="I175" i="1" s="1"/>
  <c r="M215" i="1" l="1"/>
  <c r="I182" i="1"/>
  <c r="G195" i="1"/>
  <c r="G197" i="1" s="1"/>
  <c r="G198" i="1" s="1"/>
  <c r="I198" i="1"/>
  <c r="I199" i="1" s="1"/>
  <c r="J198" i="1"/>
  <c r="J199" i="1" s="1"/>
  <c r="L198" i="1"/>
  <c r="L199" i="1" s="1"/>
  <c r="H198" i="1"/>
  <c r="H199" i="1" s="1"/>
  <c r="K198" i="1"/>
  <c r="K199" i="1" s="1"/>
  <c r="G181" i="1"/>
  <c r="G182" i="1" s="1"/>
  <c r="G184" i="1" s="1"/>
  <c r="L182" i="1"/>
  <c r="L184" i="1" s="1"/>
  <c r="K182" i="1"/>
  <c r="K184" i="1" s="1"/>
  <c r="J182" i="1"/>
  <c r="J184" i="1" s="1"/>
  <c r="H182" i="1"/>
  <c r="H184" i="1" s="1"/>
  <c r="I184" i="1"/>
  <c r="F165" i="1"/>
  <c r="I165" i="1" s="1"/>
  <c r="F164" i="1"/>
  <c r="H164" i="1" s="1"/>
  <c r="F163" i="1"/>
  <c r="H163" i="1" s="1"/>
  <c r="F162" i="1"/>
  <c r="G162" i="1" s="1"/>
  <c r="F161" i="1"/>
  <c r="G161" i="1" s="1"/>
  <c r="F160" i="1"/>
  <c r="I160" i="1" s="1"/>
  <c r="L166" i="1"/>
  <c r="L168" i="1" s="1"/>
  <c r="K166" i="1"/>
  <c r="K168" i="1" s="1"/>
  <c r="J166" i="1"/>
  <c r="J168" i="1" s="1"/>
  <c r="F149" i="1"/>
  <c r="I149" i="1" s="1"/>
  <c r="F148" i="1"/>
  <c r="G148" i="1" s="1"/>
  <c r="F147" i="1"/>
  <c r="H147" i="1" s="1"/>
  <c r="F146" i="1"/>
  <c r="G146" i="1" s="1"/>
  <c r="F145" i="1"/>
  <c r="H145" i="1" s="1"/>
  <c r="F144" i="1"/>
  <c r="G144" i="1" s="1"/>
  <c r="F143" i="1"/>
  <c r="H143" i="1" s="1"/>
  <c r="F142" i="1"/>
  <c r="G142" i="1" s="1"/>
  <c r="F141" i="1"/>
  <c r="H141" i="1" s="1"/>
  <c r="F140" i="1"/>
  <c r="G140" i="1" s="1"/>
  <c r="F139" i="1"/>
  <c r="H139" i="1" s="1"/>
  <c r="G166" i="1" l="1"/>
  <c r="G168" i="1" s="1"/>
  <c r="G169" i="1" s="1"/>
  <c r="G170" i="1" s="1"/>
  <c r="F250" i="1" s="1"/>
  <c r="H166" i="1"/>
  <c r="G199" i="1"/>
  <c r="H185" i="1"/>
  <c r="H186" i="1" s="1"/>
  <c r="K185" i="1"/>
  <c r="K186" i="1" s="1"/>
  <c r="I185" i="1"/>
  <c r="I186" i="1" s="1"/>
  <c r="I251" i="1" s="1"/>
  <c r="G185" i="1"/>
  <c r="G186" i="1" s="1"/>
  <c r="F251" i="1" s="1"/>
  <c r="M251" i="1" s="1"/>
  <c r="J185" i="1"/>
  <c r="J186" i="1" s="1"/>
  <c r="L185" i="1"/>
  <c r="L186" i="1" s="1"/>
  <c r="H168" i="1"/>
  <c r="H169" i="1" s="1"/>
  <c r="H170" i="1" s="1"/>
  <c r="G250" i="1" s="1"/>
  <c r="I166" i="1"/>
  <c r="I168" i="1" s="1"/>
  <c r="I169" i="1" s="1"/>
  <c r="I170" i="1" s="1"/>
  <c r="H250" i="1" s="1"/>
  <c r="K169" i="1"/>
  <c r="K170" i="1" s="1"/>
  <c r="J169" i="1"/>
  <c r="J170" i="1" s="1"/>
  <c r="L169" i="1"/>
  <c r="L170" i="1" s="1"/>
  <c r="H150" i="1"/>
  <c r="H152" i="1" s="1"/>
  <c r="I150" i="1"/>
  <c r="I152" i="1" s="1"/>
  <c r="K150" i="1"/>
  <c r="K152" i="1" s="1"/>
  <c r="J150" i="1"/>
  <c r="J152" i="1" s="1"/>
  <c r="G150" i="1"/>
  <c r="G152" i="1" s="1"/>
  <c r="L150" i="1"/>
  <c r="L152" i="1" s="1"/>
  <c r="F115" i="1"/>
  <c r="G115" i="1" s="1"/>
  <c r="F114" i="1"/>
  <c r="G114" i="1" s="1"/>
  <c r="F113" i="1"/>
  <c r="J113" i="1" s="1"/>
  <c r="F112" i="1"/>
  <c r="G112" i="1" s="1"/>
  <c r="F111" i="1"/>
  <c r="G111" i="1" s="1"/>
  <c r="F110" i="1"/>
  <c r="I110" i="1" s="1"/>
  <c r="I116" i="1" s="1"/>
  <c r="F109" i="1"/>
  <c r="G109" i="1" s="1"/>
  <c r="F108" i="1"/>
  <c r="G108" i="1" s="1"/>
  <c r="F107" i="1"/>
  <c r="K107" i="1" s="1"/>
  <c r="F106" i="1"/>
  <c r="G106" i="1" s="1"/>
  <c r="F105" i="1"/>
  <c r="G105" i="1" s="1"/>
  <c r="F104" i="1"/>
  <c r="K104" i="1" s="1"/>
  <c r="F103" i="1"/>
  <c r="G103" i="1" s="1"/>
  <c r="F102" i="1"/>
  <c r="G102" i="1" s="1"/>
  <c r="F101" i="1"/>
  <c r="J101" i="1" s="1"/>
  <c r="F100" i="1"/>
  <c r="G100" i="1" s="1"/>
  <c r="F99" i="1"/>
  <c r="G99" i="1" s="1"/>
  <c r="F98" i="1"/>
  <c r="K98" i="1" s="1"/>
  <c r="F97" i="1"/>
  <c r="G97" i="1" s="1"/>
  <c r="F96" i="1"/>
  <c r="G96" i="1" s="1"/>
  <c r="F95" i="1"/>
  <c r="K95" i="1" s="1"/>
  <c r="F94" i="1"/>
  <c r="G94" i="1" s="1"/>
  <c r="F93" i="1"/>
  <c r="G93" i="1" s="1"/>
  <c r="F92" i="1"/>
  <c r="K92" i="1" s="1"/>
  <c r="F91" i="1"/>
  <c r="G91" i="1" s="1"/>
  <c r="F90" i="1"/>
  <c r="G90" i="1" s="1"/>
  <c r="F89" i="1"/>
  <c r="K89" i="1" s="1"/>
  <c r="F88" i="1"/>
  <c r="G88" i="1" s="1"/>
  <c r="F87" i="1"/>
  <c r="G87" i="1" s="1"/>
  <c r="F86" i="1"/>
  <c r="K86" i="1" s="1"/>
  <c r="F85" i="1"/>
  <c r="G85" i="1" s="1"/>
  <c r="F84" i="1"/>
  <c r="G84" i="1" s="1"/>
  <c r="F83" i="1"/>
  <c r="L83" i="1" s="1"/>
  <c r="F82" i="1"/>
  <c r="F81" i="1"/>
  <c r="G81" i="1" s="1"/>
  <c r="F80" i="1"/>
  <c r="G80" i="1" s="1"/>
  <c r="F79" i="1"/>
  <c r="J79" i="1" s="1"/>
  <c r="F78" i="1"/>
  <c r="F77" i="1"/>
  <c r="G77" i="1" s="1"/>
  <c r="F76" i="1"/>
  <c r="G76" i="1" s="1"/>
  <c r="M250" i="1" l="1"/>
  <c r="M199" i="1"/>
  <c r="F252" i="1"/>
  <c r="M252" i="1" s="1"/>
  <c r="M186" i="1"/>
  <c r="M170" i="1"/>
  <c r="G153" i="1"/>
  <c r="G154" i="1" s="1"/>
  <c r="F249" i="1" s="1"/>
  <c r="L153" i="1"/>
  <c r="L154" i="1" s="1"/>
  <c r="J153" i="1"/>
  <c r="J154" i="1" s="1"/>
  <c r="K153" i="1"/>
  <c r="K154" i="1" s="1"/>
  <c r="I153" i="1"/>
  <c r="I154" i="1" s="1"/>
  <c r="I249" i="1" s="1"/>
  <c r="H153" i="1"/>
  <c r="H154" i="1" s="1"/>
  <c r="G249" i="1" s="1"/>
  <c r="K116" i="1"/>
  <c r="K118" i="1" s="1"/>
  <c r="K119" i="1" s="1"/>
  <c r="M249" i="1" l="1"/>
  <c r="M154" i="1"/>
  <c r="K120" i="1"/>
  <c r="K248" i="1" s="1"/>
  <c r="F75" i="1"/>
  <c r="J75" i="1" s="1"/>
  <c r="F74" i="1"/>
  <c r="F73" i="1"/>
  <c r="G73" i="1" s="1"/>
  <c r="F72" i="1"/>
  <c r="G72" i="1" s="1"/>
  <c r="F71" i="1"/>
  <c r="L71" i="1" s="1"/>
  <c r="L116" i="1" s="1"/>
  <c r="H116" i="1"/>
  <c r="H118" i="1" s="1"/>
  <c r="I118" i="1"/>
  <c r="F60" i="1"/>
  <c r="H60" i="1" s="1"/>
  <c r="F59" i="1"/>
  <c r="H59" i="1" s="1"/>
  <c r="F58" i="1"/>
  <c r="H58" i="1" s="1"/>
  <c r="F57" i="1"/>
  <c r="H57" i="1" s="1"/>
  <c r="F56" i="1"/>
  <c r="H56" i="1" s="1"/>
  <c r="F55" i="1"/>
  <c r="H55" i="1" s="1"/>
  <c r="F54" i="1"/>
  <c r="H54" i="1" s="1"/>
  <c r="F53" i="1"/>
  <c r="H53" i="1" s="1"/>
  <c r="F52" i="1"/>
  <c r="H52" i="1" s="1"/>
  <c r="F51" i="1"/>
  <c r="H51" i="1" s="1"/>
  <c r="F50" i="1"/>
  <c r="H50" i="1" s="1"/>
  <c r="F49" i="1"/>
  <c r="H49" i="1" s="1"/>
  <c r="G116" i="1" l="1"/>
  <c r="G118" i="1" s="1"/>
  <c r="L118" i="1"/>
  <c r="L119" i="1" s="1"/>
  <c r="L120" i="1" s="1"/>
  <c r="L248" i="1" s="1"/>
  <c r="J116" i="1"/>
  <c r="J118" i="1" s="1"/>
  <c r="J119" i="1" s="1"/>
  <c r="J120" i="1" s="1"/>
  <c r="J248" i="1" s="1"/>
  <c r="H119" i="1"/>
  <c r="H120" i="1" s="1"/>
  <c r="I119" i="1"/>
  <c r="I120" i="1" s="1"/>
  <c r="I248" i="1" s="1"/>
  <c r="F48" i="1"/>
  <c r="I48" i="1" s="1"/>
  <c r="F47" i="1"/>
  <c r="I47" i="1" s="1"/>
  <c r="F46" i="1"/>
  <c r="J46" i="1" s="1"/>
  <c r="F45" i="1"/>
  <c r="J45" i="1" s="1"/>
  <c r="F44" i="1"/>
  <c r="I44" i="1" s="1"/>
  <c r="F43" i="1"/>
  <c r="I43" i="1" s="1"/>
  <c r="F42" i="1"/>
  <c r="F41" i="1"/>
  <c r="J41" i="1" s="1"/>
  <c r="G119" i="1" l="1"/>
  <c r="G120" i="1" s="1"/>
  <c r="I61" i="1"/>
  <c r="I63" i="1" s="1"/>
  <c r="H61" i="1"/>
  <c r="H63" i="1" s="1"/>
  <c r="J61" i="1"/>
  <c r="J63" i="1" s="1"/>
  <c r="M120" i="1" l="1"/>
  <c r="F248" i="1"/>
  <c r="M248" i="1" s="1"/>
  <c r="H64" i="1"/>
  <c r="H65" i="1" s="1"/>
  <c r="H246" i="1" s="1"/>
  <c r="J64" i="1"/>
  <c r="J65" i="1" s="1"/>
  <c r="J246" i="1" s="1"/>
  <c r="I64" i="1"/>
  <c r="I65" i="1" s="1"/>
  <c r="I246" i="1" s="1"/>
  <c r="M246" i="1" l="1"/>
  <c r="M65" i="1"/>
  <c r="F6" i="1"/>
  <c r="H6" i="1" s="1"/>
  <c r="F5" i="1"/>
  <c r="H5" i="1" s="1"/>
  <c r="F9" i="1"/>
  <c r="H9" i="1" s="1"/>
  <c r="F4" i="1"/>
  <c r="J4" i="1" s="1"/>
  <c r="F7" i="1"/>
  <c r="I7" i="1" s="1"/>
  <c r="F8" i="1"/>
  <c r="J8" i="1" s="1"/>
  <c r="F10" i="1"/>
  <c r="I10" i="1" s="1"/>
  <c r="F11" i="1"/>
  <c r="I11" i="1" s="1"/>
  <c r="F12" i="1"/>
  <c r="H12" i="1" s="1"/>
  <c r="F13" i="1"/>
  <c r="I13" i="1" s="1"/>
  <c r="F14" i="1"/>
  <c r="I14" i="1" s="1"/>
  <c r="F15" i="1"/>
  <c r="H15" i="1" s="1"/>
  <c r="F16" i="1"/>
  <c r="I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I23" i="1" s="1"/>
  <c r="F24" i="1"/>
  <c r="H24" i="1" s="1"/>
  <c r="F3" i="1"/>
  <c r="J3" i="1" s="1"/>
  <c r="H25" i="1" l="1"/>
  <c r="H27" i="1" s="1"/>
  <c r="H28" i="1" s="1"/>
  <c r="H29" i="1" s="1"/>
  <c r="H245" i="1" s="1"/>
  <c r="I25" i="1"/>
  <c r="I27" i="1" s="1"/>
  <c r="J25" i="1"/>
  <c r="J27" i="1" s="1"/>
  <c r="J28" i="1" l="1"/>
  <c r="J29" i="1" s="1"/>
  <c r="J245" i="1" s="1"/>
  <c r="I28" i="1"/>
  <c r="I29" i="1" s="1"/>
  <c r="I245" i="1" s="1"/>
  <c r="M245" i="1" l="1"/>
  <c r="M253" i="1" s="1"/>
  <c r="M29" i="1"/>
</calcChain>
</file>

<file path=xl/comments1.xml><?xml version="1.0" encoding="utf-8"?>
<comments xmlns="http://schemas.openxmlformats.org/spreadsheetml/2006/main">
  <authors>
    <author>Prakash</author>
  </authors>
  <commentList>
    <comment ref="B242" authorId="0">
      <text>
        <r>
          <rPr>
            <b/>
            <sz val="9"/>
            <color indexed="81"/>
            <rFont val="Tahoma"/>
            <charset val="1"/>
          </rPr>
          <t>Prakash: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<sst xmlns="http://schemas.openxmlformats.org/spreadsheetml/2006/main" count="276" uniqueCount="93">
  <si>
    <t>SL</t>
  </si>
  <si>
    <t>ITEAM</t>
  </si>
  <si>
    <t>C.L</t>
  </si>
  <si>
    <t>T.L</t>
  </si>
  <si>
    <t>NO</t>
  </si>
  <si>
    <t>8MM</t>
  </si>
  <si>
    <t>12MM</t>
  </si>
  <si>
    <t>16MM</t>
  </si>
  <si>
    <t>20MM</t>
  </si>
  <si>
    <t>25MM</t>
  </si>
  <si>
    <t>32MM</t>
  </si>
  <si>
    <t>F1</t>
  </si>
  <si>
    <t>T.NO'S</t>
  </si>
  <si>
    <t>Remarks</t>
  </si>
  <si>
    <t>Bottom Short</t>
  </si>
  <si>
    <t>Bottom Long</t>
  </si>
  <si>
    <t>chairs</t>
  </si>
  <si>
    <t>BBS FOR FOOTINGS</t>
  </si>
  <si>
    <t>F2</t>
  </si>
  <si>
    <t>BOTTOM BOTH SIDES</t>
  </si>
  <si>
    <t>TOP SHORT</t>
  </si>
  <si>
    <t>TOP LONG</t>
  </si>
  <si>
    <t>TOP BOTH SIDES</t>
  </si>
  <si>
    <t>F3</t>
  </si>
  <si>
    <t>F4</t>
  </si>
  <si>
    <t>BOTTOMM BOTH SIDES</t>
  </si>
  <si>
    <t>F5</t>
  </si>
  <si>
    <t>BOTTOM SHORT SPAN</t>
  </si>
  <si>
    <t>F6</t>
  </si>
  <si>
    <t>BOTTOM SHORT</t>
  </si>
  <si>
    <t>F7</t>
  </si>
  <si>
    <t>SHORT SPAN</t>
  </si>
  <si>
    <t>LONG SPAN</t>
  </si>
  <si>
    <t>F8</t>
  </si>
  <si>
    <t>CF1</t>
  </si>
  <si>
    <t>BOTTOM LONG</t>
  </si>
  <si>
    <t>TOP</t>
  </si>
  <si>
    <t>CF2</t>
  </si>
  <si>
    <t>CF3</t>
  </si>
  <si>
    <t>BOTOM SHORT</t>
  </si>
  <si>
    <t>BOTOM LONG</t>
  </si>
  <si>
    <t>CF5</t>
  </si>
  <si>
    <t>CF6</t>
  </si>
  <si>
    <t>BBS FOR COLUMNS(B2)</t>
  </si>
  <si>
    <t>C1</t>
  </si>
  <si>
    <t>C2</t>
  </si>
  <si>
    <t>C3</t>
  </si>
  <si>
    <t>C4</t>
  </si>
  <si>
    <t>STIRRUPS</t>
  </si>
  <si>
    <t>C5</t>
  </si>
  <si>
    <t>C6</t>
  </si>
  <si>
    <t>C8</t>
  </si>
  <si>
    <t>C9</t>
  </si>
  <si>
    <t>C11</t>
  </si>
  <si>
    <t>C12</t>
  </si>
  <si>
    <t>C13</t>
  </si>
  <si>
    <t>GC1</t>
  </si>
  <si>
    <t>GC2</t>
  </si>
  <si>
    <t>SW</t>
  </si>
  <si>
    <t>BBS FOR LIFT FOOTINGS</t>
  </si>
  <si>
    <t>BBS FOR LIFT WALLS</t>
  </si>
  <si>
    <t>10MM</t>
  </si>
  <si>
    <t>VERTICAL</t>
  </si>
  <si>
    <t>HORIZANTAL</t>
  </si>
  <si>
    <t>CHAIRS</t>
  </si>
  <si>
    <t>BBS FOR RETAINING WALL</t>
  </si>
  <si>
    <t>VER</t>
  </si>
  <si>
    <t>B2</t>
  </si>
  <si>
    <t>B1</t>
  </si>
  <si>
    <t>SPACER</t>
  </si>
  <si>
    <t>LD</t>
  </si>
  <si>
    <t>BBS FOR PLINTH BEAMS</t>
  </si>
  <si>
    <t>PB1</t>
  </si>
  <si>
    <t>12mm</t>
  </si>
  <si>
    <t>16mm</t>
  </si>
  <si>
    <t>strr</t>
  </si>
  <si>
    <t>BBS FOR GRADE SLAB</t>
  </si>
  <si>
    <t>FOOTINGS</t>
  </si>
  <si>
    <t>TOTAL</t>
  </si>
  <si>
    <t>LIFT FOOTINGS</t>
  </si>
  <si>
    <t>ITEM</t>
  </si>
  <si>
    <t>COLUMNS B2</t>
  </si>
  <si>
    <t>LIFT WALLS</t>
  </si>
  <si>
    <t>RETAINING WALLS</t>
  </si>
  <si>
    <t>PLINTH BEAMS</t>
  </si>
  <si>
    <t>GRADE SLAB</t>
  </si>
  <si>
    <t>BBS FOR PD1</t>
  </si>
  <si>
    <t>12 MM</t>
  </si>
  <si>
    <t>COL</t>
  </si>
  <si>
    <t>STRR</t>
  </si>
  <si>
    <t>PD1(BELOW PB)</t>
  </si>
  <si>
    <t>STEEL REQUIREMENT</t>
  </si>
  <si>
    <t>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</si>
</sst>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164" fontId="9" fillId="0" borderId="0" xfId="0" applyNumberFormat="1" applyFont="1" applyAlignment="1">
      <alignment horizontal="center"/>
    </xf>
    <xf numFmtId="0" fontId="9" fillId="0" borderId="0" xfId="0" applyFont="1"/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Border="1" applyAlignment="1">
      <alignment horizont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2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53"/>
  <sheetViews>
    <sheetView tabSelected="1" topLeftCell="A232" workbookViewId="0">
      <selection activeCell="S244" sqref="S244"/>
    </sheetView>
  </sheetViews>
  <sheetFormatPr defaultRowHeight="15" x14ac:dyDescent="0.25"/>
  <cols>
    <col min="1" max="1" width="3.85546875" customWidth="1"/>
    <col min="2" max="2" width="9" customWidth="1"/>
    <col min="3" max="3" width="6.42578125" customWidth="1"/>
    <col min="4" max="4" width="8.140625" customWidth="1"/>
    <col min="5" max="5" width="9.140625" customWidth="1"/>
    <col min="6" max="6" width="10" customWidth="1"/>
    <col min="7" max="7" width="9.5703125" bestFit="1" customWidth="1"/>
    <col min="8" max="8" width="9.7109375" customWidth="1"/>
    <col min="9" max="12" width="9.28515625" bestFit="1" customWidth="1"/>
    <col min="13" max="13" width="18.140625" style="4" customWidth="1"/>
    <col min="14" max="14" width="9.140625" hidden="1" customWidth="1"/>
  </cols>
  <sheetData>
    <row r="1" spans="1:14" x14ac:dyDescent="0.25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s="2" customFormat="1" ht="12.75" x14ac:dyDescent="0.2">
      <c r="A2" s="5" t="s">
        <v>0</v>
      </c>
      <c r="B2" s="5" t="s">
        <v>1</v>
      </c>
      <c r="C2" s="5" t="s">
        <v>4</v>
      </c>
      <c r="D2" s="5" t="s">
        <v>12</v>
      </c>
      <c r="E2" s="5" t="s">
        <v>2</v>
      </c>
      <c r="F2" s="5" t="s">
        <v>3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13</v>
      </c>
      <c r="N2" s="6"/>
    </row>
    <row r="3" spans="1:14" x14ac:dyDescent="0.25">
      <c r="A3" s="13">
        <v>1</v>
      </c>
      <c r="B3" s="12" t="s">
        <v>11</v>
      </c>
      <c r="C3" s="7">
        <v>1</v>
      </c>
      <c r="D3" s="7">
        <v>58</v>
      </c>
      <c r="E3" s="7">
        <v>7.65</v>
      </c>
      <c r="F3" s="7">
        <f>C3*D3*E3</f>
        <v>443.70000000000005</v>
      </c>
      <c r="G3" s="7"/>
      <c r="H3" s="7"/>
      <c r="I3" s="7"/>
      <c r="J3" s="7">
        <f>F3</f>
        <v>443.70000000000005</v>
      </c>
      <c r="K3" s="7"/>
      <c r="L3" s="7"/>
      <c r="M3" s="8" t="s">
        <v>14</v>
      </c>
      <c r="N3" s="9"/>
    </row>
    <row r="4" spans="1:14" x14ac:dyDescent="0.25">
      <c r="A4" s="13"/>
      <c r="B4" s="12" t="s">
        <v>11</v>
      </c>
      <c r="C4" s="7">
        <v>1</v>
      </c>
      <c r="D4" s="7">
        <v>55</v>
      </c>
      <c r="E4" s="7">
        <v>8.1</v>
      </c>
      <c r="F4" s="7">
        <f t="shared" ref="F4:F24" si="0">C4*D4*E4</f>
        <v>445.5</v>
      </c>
      <c r="G4" s="7"/>
      <c r="H4" s="7"/>
      <c r="I4" s="7"/>
      <c r="J4" s="7">
        <f>F4</f>
        <v>445.5</v>
      </c>
      <c r="K4" s="7"/>
      <c r="L4" s="7"/>
      <c r="M4" s="8" t="s">
        <v>15</v>
      </c>
      <c r="N4" s="9"/>
    </row>
    <row r="5" spans="1:14" x14ac:dyDescent="0.25">
      <c r="A5" s="13"/>
      <c r="B5" s="12" t="s">
        <v>11</v>
      </c>
      <c r="C5" s="7">
        <v>1</v>
      </c>
      <c r="D5" s="7">
        <v>58</v>
      </c>
      <c r="E5" s="7">
        <v>7.65</v>
      </c>
      <c r="F5" s="7">
        <f>C5*D5*E5</f>
        <v>443.70000000000005</v>
      </c>
      <c r="G5" s="7"/>
      <c r="H5" s="7">
        <f>F5</f>
        <v>443.70000000000005</v>
      </c>
      <c r="I5" s="7"/>
      <c r="J5" s="7"/>
      <c r="K5" s="7"/>
      <c r="L5" s="7"/>
      <c r="M5" s="8" t="s">
        <v>20</v>
      </c>
      <c r="N5" s="9"/>
    </row>
    <row r="6" spans="1:14" x14ac:dyDescent="0.25">
      <c r="A6" s="13"/>
      <c r="B6" s="12" t="s">
        <v>11</v>
      </c>
      <c r="C6" s="7">
        <v>1</v>
      </c>
      <c r="D6" s="7">
        <v>58</v>
      </c>
      <c r="E6" s="7">
        <v>8.1</v>
      </c>
      <c r="F6" s="7">
        <f>C6*D6*E6</f>
        <v>469.79999999999995</v>
      </c>
      <c r="G6" s="7"/>
      <c r="H6" s="7">
        <f>F6</f>
        <v>469.79999999999995</v>
      </c>
      <c r="I6" s="7"/>
      <c r="J6" s="7"/>
      <c r="K6" s="7"/>
      <c r="L6" s="7"/>
      <c r="M6" s="8" t="s">
        <v>21</v>
      </c>
      <c r="N6" s="9"/>
    </row>
    <row r="7" spans="1:14" x14ac:dyDescent="0.25">
      <c r="A7" s="13"/>
      <c r="B7" s="12" t="s">
        <v>16</v>
      </c>
      <c r="C7" s="7">
        <v>1</v>
      </c>
      <c r="D7" s="7">
        <v>50</v>
      </c>
      <c r="E7" s="7">
        <v>5.0999999999999996</v>
      </c>
      <c r="F7" s="7">
        <f t="shared" si="0"/>
        <v>254.99999999999997</v>
      </c>
      <c r="G7" s="7"/>
      <c r="H7" s="7"/>
      <c r="I7" s="7">
        <f>F7</f>
        <v>254.99999999999997</v>
      </c>
      <c r="J7" s="7"/>
      <c r="K7" s="7"/>
      <c r="L7" s="7"/>
      <c r="M7" s="8"/>
      <c r="N7" s="9"/>
    </row>
    <row r="8" spans="1:14" x14ac:dyDescent="0.25">
      <c r="A8" s="13">
        <v>2</v>
      </c>
      <c r="B8" s="12" t="s">
        <v>18</v>
      </c>
      <c r="C8" s="7">
        <v>7</v>
      </c>
      <c r="D8" s="7">
        <v>100</v>
      </c>
      <c r="E8" s="7">
        <v>7.35</v>
      </c>
      <c r="F8" s="7">
        <f t="shared" si="0"/>
        <v>5145</v>
      </c>
      <c r="G8" s="7"/>
      <c r="H8" s="7"/>
      <c r="I8" s="7"/>
      <c r="J8" s="7">
        <f>F8</f>
        <v>5145</v>
      </c>
      <c r="K8" s="7"/>
      <c r="L8" s="7"/>
      <c r="M8" s="8" t="s">
        <v>19</v>
      </c>
      <c r="N8" s="9"/>
    </row>
    <row r="9" spans="1:14" x14ac:dyDescent="0.25">
      <c r="A9" s="13"/>
      <c r="B9" s="12" t="s">
        <v>18</v>
      </c>
      <c r="C9" s="7">
        <v>7</v>
      </c>
      <c r="D9" s="7">
        <v>100</v>
      </c>
      <c r="E9" s="7">
        <v>7.35</v>
      </c>
      <c r="F9" s="7">
        <f t="shared" si="0"/>
        <v>5145</v>
      </c>
      <c r="G9" s="7"/>
      <c r="H9" s="7">
        <f>F9</f>
        <v>5145</v>
      </c>
      <c r="I9" s="7"/>
      <c r="J9" s="7"/>
      <c r="K9" s="7"/>
      <c r="L9" s="7"/>
      <c r="M9" s="8" t="s">
        <v>22</v>
      </c>
      <c r="N9" s="9"/>
    </row>
    <row r="10" spans="1:14" x14ac:dyDescent="0.25">
      <c r="A10" s="13"/>
      <c r="B10" s="12" t="s">
        <v>16</v>
      </c>
      <c r="C10" s="7">
        <v>1</v>
      </c>
      <c r="D10" s="7">
        <v>58</v>
      </c>
      <c r="E10" s="7">
        <v>4.5</v>
      </c>
      <c r="F10" s="7">
        <f t="shared" si="0"/>
        <v>261</v>
      </c>
      <c r="G10" s="7"/>
      <c r="H10" s="7"/>
      <c r="I10" s="7">
        <f>F10</f>
        <v>261</v>
      </c>
      <c r="J10" s="7"/>
      <c r="K10" s="7"/>
      <c r="L10" s="7"/>
      <c r="M10" s="8"/>
      <c r="N10" s="9"/>
    </row>
    <row r="11" spans="1:14" x14ac:dyDescent="0.25">
      <c r="A11" s="13">
        <v>3</v>
      </c>
      <c r="B11" s="12" t="s">
        <v>23</v>
      </c>
      <c r="C11" s="7">
        <v>10</v>
      </c>
      <c r="D11" s="7">
        <v>92</v>
      </c>
      <c r="E11" s="7">
        <v>6.9</v>
      </c>
      <c r="F11" s="7">
        <f t="shared" si="0"/>
        <v>6348</v>
      </c>
      <c r="G11" s="7"/>
      <c r="H11" s="7"/>
      <c r="I11" s="7">
        <f>F11</f>
        <v>6348</v>
      </c>
      <c r="J11" s="7"/>
      <c r="K11" s="7"/>
      <c r="L11" s="7"/>
      <c r="M11" s="8" t="s">
        <v>19</v>
      </c>
      <c r="N11" s="9"/>
    </row>
    <row r="12" spans="1:14" x14ac:dyDescent="0.25">
      <c r="A12" s="13"/>
      <c r="B12" s="12" t="s">
        <v>23</v>
      </c>
      <c r="C12" s="7">
        <v>10</v>
      </c>
      <c r="D12" s="7">
        <v>92</v>
      </c>
      <c r="E12" s="7">
        <v>6.9</v>
      </c>
      <c r="F12" s="7">
        <f t="shared" si="0"/>
        <v>6348</v>
      </c>
      <c r="G12" s="7"/>
      <c r="H12" s="7">
        <f>F12</f>
        <v>6348</v>
      </c>
      <c r="I12" s="7"/>
      <c r="J12" s="7"/>
      <c r="K12" s="7"/>
      <c r="L12" s="7"/>
      <c r="M12" s="8" t="s">
        <v>22</v>
      </c>
      <c r="N12" s="9"/>
    </row>
    <row r="13" spans="1:14" x14ac:dyDescent="0.25">
      <c r="A13" s="13"/>
      <c r="B13" s="12" t="s">
        <v>16</v>
      </c>
      <c r="C13" s="7">
        <v>10</v>
      </c>
      <c r="D13" s="7">
        <v>45</v>
      </c>
      <c r="E13" s="7">
        <v>4.5</v>
      </c>
      <c r="F13" s="7">
        <f t="shared" si="0"/>
        <v>2025</v>
      </c>
      <c r="G13" s="7"/>
      <c r="H13" s="7"/>
      <c r="I13" s="7">
        <f>F13</f>
        <v>2025</v>
      </c>
      <c r="J13" s="7"/>
      <c r="K13" s="7"/>
      <c r="L13" s="7"/>
      <c r="M13" s="8"/>
      <c r="N13" s="9"/>
    </row>
    <row r="14" spans="1:14" x14ac:dyDescent="0.25">
      <c r="A14" s="13">
        <v>4</v>
      </c>
      <c r="B14" s="12" t="s">
        <v>24</v>
      </c>
      <c r="C14" s="7">
        <v>7</v>
      </c>
      <c r="D14" s="7">
        <v>80</v>
      </c>
      <c r="E14" s="7">
        <v>6.3</v>
      </c>
      <c r="F14" s="7">
        <f t="shared" si="0"/>
        <v>3528</v>
      </c>
      <c r="G14" s="7"/>
      <c r="H14" s="7"/>
      <c r="I14" s="7">
        <f>F14</f>
        <v>3528</v>
      </c>
      <c r="J14" s="7"/>
      <c r="K14" s="7"/>
      <c r="L14" s="7"/>
      <c r="M14" s="8" t="s">
        <v>25</v>
      </c>
      <c r="N14" s="9"/>
    </row>
    <row r="15" spans="1:14" x14ac:dyDescent="0.25">
      <c r="A15" s="13"/>
      <c r="B15" s="12" t="s">
        <v>24</v>
      </c>
      <c r="C15" s="7">
        <v>7</v>
      </c>
      <c r="D15" s="7">
        <v>80</v>
      </c>
      <c r="E15" s="7">
        <v>6.3</v>
      </c>
      <c r="F15" s="7">
        <f t="shared" si="0"/>
        <v>3528</v>
      </c>
      <c r="G15" s="7"/>
      <c r="H15" s="7">
        <f>F15</f>
        <v>3528</v>
      </c>
      <c r="I15" s="7"/>
      <c r="J15" s="7"/>
      <c r="K15" s="7"/>
      <c r="L15" s="7"/>
      <c r="M15" s="8" t="s">
        <v>22</v>
      </c>
      <c r="N15" s="9"/>
    </row>
    <row r="16" spans="1:14" x14ac:dyDescent="0.25">
      <c r="A16" s="13"/>
      <c r="B16" s="12" t="s">
        <v>16</v>
      </c>
      <c r="C16" s="7">
        <v>1</v>
      </c>
      <c r="D16" s="7">
        <v>35</v>
      </c>
      <c r="E16" s="7">
        <v>4</v>
      </c>
      <c r="F16" s="7">
        <f t="shared" si="0"/>
        <v>140</v>
      </c>
      <c r="G16" s="7"/>
      <c r="H16" s="7"/>
      <c r="I16" s="7">
        <f>F16</f>
        <v>140</v>
      </c>
      <c r="J16" s="7"/>
      <c r="K16" s="7"/>
      <c r="L16" s="7"/>
      <c r="M16" s="8"/>
      <c r="N16" s="9"/>
    </row>
    <row r="17" spans="1:14" x14ac:dyDescent="0.25">
      <c r="A17" s="13">
        <v>5</v>
      </c>
      <c r="B17" s="12" t="s">
        <v>26</v>
      </c>
      <c r="C17" s="7">
        <v>3</v>
      </c>
      <c r="D17" s="7">
        <v>28</v>
      </c>
      <c r="E17" s="7">
        <v>4.6500000000000004</v>
      </c>
      <c r="F17" s="7">
        <f t="shared" si="0"/>
        <v>390.6</v>
      </c>
      <c r="G17" s="7"/>
      <c r="H17" s="7">
        <f t="shared" ref="H17:H22" si="1">F17</f>
        <v>390.6</v>
      </c>
      <c r="I17" s="7"/>
      <c r="J17" s="7"/>
      <c r="K17" s="7"/>
      <c r="L17" s="7"/>
      <c r="M17" s="8" t="s">
        <v>27</v>
      </c>
      <c r="N17" s="9"/>
    </row>
    <row r="18" spans="1:14" x14ac:dyDescent="0.25">
      <c r="A18" s="13"/>
      <c r="B18" s="12" t="s">
        <v>26</v>
      </c>
      <c r="C18" s="7">
        <v>3</v>
      </c>
      <c r="D18" s="7">
        <v>25</v>
      </c>
      <c r="E18" s="7">
        <v>4.95</v>
      </c>
      <c r="F18" s="7">
        <f t="shared" si="0"/>
        <v>371.25</v>
      </c>
      <c r="G18" s="7"/>
      <c r="H18" s="7">
        <f t="shared" si="1"/>
        <v>371.25</v>
      </c>
      <c r="I18" s="7"/>
      <c r="J18" s="7"/>
      <c r="K18" s="7"/>
      <c r="L18" s="7"/>
      <c r="M18" s="8"/>
      <c r="N18" s="9"/>
    </row>
    <row r="19" spans="1:14" x14ac:dyDescent="0.25">
      <c r="A19" s="13">
        <v>6</v>
      </c>
      <c r="B19" s="12" t="s">
        <v>28</v>
      </c>
      <c r="C19" s="7">
        <v>7</v>
      </c>
      <c r="D19" s="7">
        <v>25</v>
      </c>
      <c r="E19" s="7">
        <v>4.3499999999999996</v>
      </c>
      <c r="F19" s="7">
        <f t="shared" si="0"/>
        <v>761.24999999999989</v>
      </c>
      <c r="G19" s="7"/>
      <c r="H19" s="7">
        <f t="shared" si="1"/>
        <v>761.24999999999989</v>
      </c>
      <c r="I19" s="7"/>
      <c r="J19" s="7"/>
      <c r="K19" s="7"/>
      <c r="L19" s="7"/>
      <c r="M19" s="8" t="s">
        <v>29</v>
      </c>
      <c r="N19" s="9"/>
    </row>
    <row r="20" spans="1:14" x14ac:dyDescent="0.25">
      <c r="A20" s="13"/>
      <c r="B20" s="12" t="s">
        <v>28</v>
      </c>
      <c r="C20" s="7">
        <v>7</v>
      </c>
      <c r="D20" s="7">
        <v>22</v>
      </c>
      <c r="E20" s="7">
        <v>4.6500000000000004</v>
      </c>
      <c r="F20" s="7">
        <f t="shared" si="0"/>
        <v>716.1</v>
      </c>
      <c r="G20" s="7"/>
      <c r="H20" s="7">
        <f t="shared" si="1"/>
        <v>716.1</v>
      </c>
      <c r="I20" s="7"/>
      <c r="J20" s="7"/>
      <c r="K20" s="7"/>
      <c r="L20" s="7"/>
      <c r="M20" s="8"/>
      <c r="N20" s="9"/>
    </row>
    <row r="21" spans="1:14" x14ac:dyDescent="0.25">
      <c r="A21" s="13">
        <v>7</v>
      </c>
      <c r="B21" s="12" t="s">
        <v>30</v>
      </c>
      <c r="C21" s="7">
        <v>2</v>
      </c>
      <c r="D21" s="7">
        <v>15</v>
      </c>
      <c r="E21" s="7">
        <v>2.4009999999999998</v>
      </c>
      <c r="F21" s="7">
        <f t="shared" si="0"/>
        <v>72.03</v>
      </c>
      <c r="G21" s="7"/>
      <c r="H21" s="7">
        <f t="shared" si="1"/>
        <v>72.03</v>
      </c>
      <c r="I21" s="7"/>
      <c r="J21" s="7"/>
      <c r="K21" s="7"/>
      <c r="L21" s="7"/>
      <c r="M21" s="8" t="s">
        <v>31</v>
      </c>
      <c r="N21" s="9"/>
    </row>
    <row r="22" spans="1:14" x14ac:dyDescent="0.25">
      <c r="A22" s="13"/>
      <c r="B22" s="12" t="s">
        <v>30</v>
      </c>
      <c r="C22" s="7">
        <v>2</v>
      </c>
      <c r="D22" s="7">
        <v>13</v>
      </c>
      <c r="E22" s="7">
        <v>2.56</v>
      </c>
      <c r="F22" s="7">
        <f t="shared" si="0"/>
        <v>66.56</v>
      </c>
      <c r="G22" s="7"/>
      <c r="H22" s="7">
        <f t="shared" si="1"/>
        <v>66.56</v>
      </c>
      <c r="I22" s="7"/>
      <c r="J22" s="7"/>
      <c r="K22" s="7"/>
      <c r="L22" s="7"/>
      <c r="M22" s="8" t="s">
        <v>32</v>
      </c>
      <c r="N22" s="9"/>
    </row>
    <row r="23" spans="1:14" x14ac:dyDescent="0.25">
      <c r="A23" s="13"/>
      <c r="B23" s="12" t="s">
        <v>33</v>
      </c>
      <c r="C23" s="7">
        <v>1</v>
      </c>
      <c r="D23" s="7">
        <v>61</v>
      </c>
      <c r="E23" s="7">
        <v>5.25</v>
      </c>
      <c r="F23" s="7">
        <f t="shared" si="0"/>
        <v>320.25</v>
      </c>
      <c r="G23" s="7"/>
      <c r="H23" s="7"/>
      <c r="I23" s="7">
        <f>F23</f>
        <v>320.25</v>
      </c>
      <c r="J23" s="7"/>
      <c r="K23" s="7"/>
      <c r="L23" s="7"/>
      <c r="M23" s="8" t="s">
        <v>31</v>
      </c>
      <c r="N23" s="9"/>
    </row>
    <row r="24" spans="1:14" x14ac:dyDescent="0.25">
      <c r="A24" s="13"/>
      <c r="B24" s="12" t="s">
        <v>33</v>
      </c>
      <c r="C24" s="7">
        <v>1</v>
      </c>
      <c r="D24" s="7">
        <v>31</v>
      </c>
      <c r="E24" s="7">
        <v>8.25</v>
      </c>
      <c r="F24" s="7">
        <f t="shared" si="0"/>
        <v>255.75</v>
      </c>
      <c r="G24" s="7"/>
      <c r="H24" s="7">
        <f>F24</f>
        <v>255.75</v>
      </c>
      <c r="I24" s="7"/>
      <c r="J24" s="7"/>
      <c r="K24" s="7"/>
      <c r="L24" s="7"/>
      <c r="M24" s="8"/>
      <c r="N24" s="9"/>
    </row>
    <row r="25" spans="1:14" x14ac:dyDescent="0.25">
      <c r="A25" s="9"/>
      <c r="B25" s="9"/>
      <c r="C25" s="9"/>
      <c r="D25" s="9"/>
      <c r="E25" s="9"/>
      <c r="F25" s="9"/>
      <c r="G25" s="10"/>
      <c r="H25" s="10">
        <f>SUM(H3:H24)</f>
        <v>18568.039999999997</v>
      </c>
      <c r="I25" s="10">
        <f>SUM(I3:I24)</f>
        <v>12877.25</v>
      </c>
      <c r="J25" s="10">
        <f>SUM(J3:J24)</f>
        <v>6034.2</v>
      </c>
      <c r="K25" s="10"/>
      <c r="L25" s="10"/>
      <c r="M25" s="10"/>
      <c r="N25" s="9"/>
    </row>
    <row r="26" spans="1:14" x14ac:dyDescent="0.25">
      <c r="A26" s="9"/>
      <c r="B26" s="9"/>
      <c r="C26" s="9"/>
      <c r="D26" s="9"/>
      <c r="E26" s="9"/>
      <c r="F26" s="9"/>
      <c r="G26" s="10"/>
      <c r="H26" s="10">
        <v>0.88880000000000003</v>
      </c>
      <c r="I26" s="10">
        <v>1.58</v>
      </c>
      <c r="J26" s="10">
        <v>2.4689999999999999</v>
      </c>
      <c r="K26" s="10"/>
      <c r="L26" s="10"/>
      <c r="M26" s="10"/>
      <c r="N26" s="9"/>
    </row>
    <row r="27" spans="1:14" x14ac:dyDescent="0.25">
      <c r="A27" s="9"/>
      <c r="B27" s="9"/>
      <c r="C27" s="9"/>
      <c r="D27" s="9"/>
      <c r="E27" s="9"/>
      <c r="F27" s="9"/>
      <c r="G27" s="10"/>
      <c r="H27" s="10">
        <f>H25*H26</f>
        <v>16503.273952</v>
      </c>
      <c r="I27" s="10">
        <f>I25*I26</f>
        <v>20346.055</v>
      </c>
      <c r="J27" s="11">
        <f>J25*J26</f>
        <v>14898.439799999998</v>
      </c>
      <c r="K27" s="10"/>
      <c r="L27" s="10"/>
      <c r="M27" s="10"/>
      <c r="N27" s="9"/>
    </row>
    <row r="28" spans="1:14" x14ac:dyDescent="0.25">
      <c r="A28" s="1"/>
      <c r="B28" s="1"/>
      <c r="C28" s="1"/>
      <c r="D28" s="1"/>
      <c r="E28" s="1"/>
      <c r="F28" s="1"/>
      <c r="G28" s="15">
        <v>0.05</v>
      </c>
      <c r="H28" s="16">
        <f>G28*H27</f>
        <v>825.16369759999998</v>
      </c>
      <c r="I28" s="16">
        <f>G28*I27</f>
        <v>1017.3027500000001</v>
      </c>
      <c r="J28" s="16">
        <f>G28*J27</f>
        <v>744.92198999999994</v>
      </c>
      <c r="K28" s="1"/>
      <c r="L28" s="1"/>
      <c r="M28" s="3"/>
      <c r="N28" s="1"/>
    </row>
    <row r="29" spans="1:14" ht="15.75" x14ac:dyDescent="0.25">
      <c r="A29" s="1"/>
      <c r="B29" s="1"/>
      <c r="C29" s="1"/>
      <c r="D29" s="1"/>
      <c r="E29" s="1"/>
      <c r="F29" s="1"/>
      <c r="G29" s="16"/>
      <c r="H29" s="16">
        <f>SUM(H27:H28)</f>
        <v>17328.4376496</v>
      </c>
      <c r="I29" s="16">
        <f>SUM(I27:I28)</f>
        <v>21363.357749999999</v>
      </c>
      <c r="J29" s="17">
        <f>SUM(J27:J28)</f>
        <v>15643.361789999999</v>
      </c>
      <c r="K29" s="1"/>
      <c r="L29" s="1"/>
      <c r="M29" s="20">
        <f>H29+I29+J29</f>
        <v>54335.157189599995</v>
      </c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1"/>
    </row>
    <row r="39" spans="1:14" x14ac:dyDescent="0.25">
      <c r="A39" s="50" t="s">
        <v>59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4" x14ac:dyDescent="0.25">
      <c r="A40" s="5" t="s">
        <v>0</v>
      </c>
      <c r="B40" s="5" t="s">
        <v>1</v>
      </c>
      <c r="C40" s="5" t="s">
        <v>4</v>
      </c>
      <c r="D40" s="5" t="s">
        <v>12</v>
      </c>
      <c r="E40" s="5" t="s">
        <v>2</v>
      </c>
      <c r="F40" s="5" t="s">
        <v>3</v>
      </c>
      <c r="G40" s="5" t="s">
        <v>5</v>
      </c>
      <c r="H40" s="5" t="s">
        <v>6</v>
      </c>
      <c r="I40" s="5" t="s">
        <v>7</v>
      </c>
      <c r="J40" s="5" t="s">
        <v>8</v>
      </c>
      <c r="K40" s="5" t="s">
        <v>9</v>
      </c>
      <c r="L40" s="5" t="s">
        <v>10</v>
      </c>
      <c r="M40" s="5" t="s">
        <v>13</v>
      </c>
      <c r="N40" s="6"/>
    </row>
    <row r="41" spans="1:14" x14ac:dyDescent="0.25">
      <c r="A41" s="13">
        <v>1</v>
      </c>
      <c r="B41" s="12" t="s">
        <v>34</v>
      </c>
      <c r="C41" s="7">
        <v>1</v>
      </c>
      <c r="D41" s="7">
        <v>51</v>
      </c>
      <c r="E41" s="7">
        <v>5.55</v>
      </c>
      <c r="F41" s="7">
        <f t="shared" ref="F41:F50" si="2">C41*D41*E41</f>
        <v>283.05</v>
      </c>
      <c r="G41" s="7"/>
      <c r="H41" s="7"/>
      <c r="I41" s="7"/>
      <c r="J41" s="7">
        <f>F41</f>
        <v>283.05</v>
      </c>
      <c r="K41" s="7"/>
      <c r="L41" s="7"/>
      <c r="M41" s="8" t="s">
        <v>29</v>
      </c>
      <c r="N41" s="9"/>
    </row>
    <row r="42" spans="1:14" x14ac:dyDescent="0.25">
      <c r="A42" s="13"/>
      <c r="B42" s="12" t="s">
        <v>34</v>
      </c>
      <c r="C42" s="7">
        <v>1</v>
      </c>
      <c r="D42" s="7">
        <v>27</v>
      </c>
      <c r="E42" s="7">
        <v>8.5</v>
      </c>
      <c r="F42" s="7">
        <f t="shared" si="2"/>
        <v>229.5</v>
      </c>
      <c r="G42" s="7"/>
      <c r="H42" s="7"/>
      <c r="I42" s="7"/>
      <c r="J42" s="7"/>
      <c r="K42" s="7"/>
      <c r="L42" s="7"/>
      <c r="M42" s="8" t="s">
        <v>35</v>
      </c>
      <c r="N42" s="9"/>
    </row>
    <row r="43" spans="1:14" x14ac:dyDescent="0.25">
      <c r="A43" s="13"/>
      <c r="B43" s="12" t="s">
        <v>34</v>
      </c>
      <c r="C43" s="7">
        <v>1</v>
      </c>
      <c r="D43" s="7">
        <v>51</v>
      </c>
      <c r="E43" s="7">
        <v>5.55</v>
      </c>
      <c r="F43" s="7">
        <f t="shared" si="2"/>
        <v>283.05</v>
      </c>
      <c r="G43" s="7"/>
      <c r="H43" s="7"/>
      <c r="I43" s="7">
        <f>F43</f>
        <v>283.05</v>
      </c>
      <c r="J43" s="7"/>
      <c r="K43" s="7"/>
      <c r="L43" s="7"/>
      <c r="M43" s="8" t="s">
        <v>36</v>
      </c>
      <c r="N43" s="9"/>
    </row>
    <row r="44" spans="1:14" x14ac:dyDescent="0.25">
      <c r="A44" s="13"/>
      <c r="B44" s="12" t="s">
        <v>34</v>
      </c>
      <c r="C44" s="7">
        <v>1</v>
      </c>
      <c r="D44" s="7">
        <v>27</v>
      </c>
      <c r="E44" s="7">
        <v>8.5</v>
      </c>
      <c r="F44" s="7">
        <f t="shared" si="2"/>
        <v>229.5</v>
      </c>
      <c r="G44" s="7"/>
      <c r="H44" s="7"/>
      <c r="I44" s="7">
        <f>F44</f>
        <v>229.5</v>
      </c>
      <c r="J44" s="7"/>
      <c r="K44" s="7"/>
      <c r="L44" s="7"/>
      <c r="M44" s="8" t="s">
        <v>36</v>
      </c>
      <c r="N44" s="9"/>
    </row>
    <row r="45" spans="1:14" x14ac:dyDescent="0.25">
      <c r="A45" s="13">
        <v>2</v>
      </c>
      <c r="B45" s="12" t="s">
        <v>37</v>
      </c>
      <c r="C45" s="7">
        <v>1</v>
      </c>
      <c r="D45" s="7">
        <v>51</v>
      </c>
      <c r="E45" s="7">
        <v>5.55</v>
      </c>
      <c r="F45" s="7">
        <f t="shared" si="2"/>
        <v>283.05</v>
      </c>
      <c r="G45" s="7"/>
      <c r="H45" s="7"/>
      <c r="I45" s="7"/>
      <c r="J45" s="7">
        <f>F45</f>
        <v>283.05</v>
      </c>
      <c r="K45" s="7"/>
      <c r="L45" s="7"/>
      <c r="M45" s="8"/>
      <c r="N45" s="9"/>
    </row>
    <row r="46" spans="1:14" x14ac:dyDescent="0.25">
      <c r="A46" s="13"/>
      <c r="B46" s="12" t="s">
        <v>37</v>
      </c>
      <c r="C46" s="7">
        <v>1</v>
      </c>
      <c r="D46" s="7">
        <v>27</v>
      </c>
      <c r="E46" s="7">
        <v>8.5</v>
      </c>
      <c r="F46" s="7">
        <f t="shared" si="2"/>
        <v>229.5</v>
      </c>
      <c r="G46" s="7"/>
      <c r="H46" s="7"/>
      <c r="I46" s="7"/>
      <c r="J46" s="7">
        <f>F46</f>
        <v>229.5</v>
      </c>
      <c r="K46" s="7"/>
      <c r="L46" s="7"/>
      <c r="M46" s="8"/>
      <c r="N46" s="9"/>
    </row>
    <row r="47" spans="1:14" x14ac:dyDescent="0.25">
      <c r="A47" s="13"/>
      <c r="B47" s="12" t="s">
        <v>37</v>
      </c>
      <c r="C47" s="7">
        <v>1</v>
      </c>
      <c r="D47" s="7">
        <v>51</v>
      </c>
      <c r="E47" s="7">
        <v>5.55</v>
      </c>
      <c r="F47" s="7">
        <f t="shared" si="2"/>
        <v>283.05</v>
      </c>
      <c r="G47" s="7"/>
      <c r="H47" s="7"/>
      <c r="I47" s="7">
        <f>F47</f>
        <v>283.05</v>
      </c>
      <c r="J47" s="7"/>
      <c r="K47" s="7"/>
      <c r="L47" s="7"/>
      <c r="M47" s="8"/>
      <c r="N47" s="9"/>
    </row>
    <row r="48" spans="1:14" x14ac:dyDescent="0.25">
      <c r="A48" s="13"/>
      <c r="B48" s="12" t="s">
        <v>37</v>
      </c>
      <c r="C48" s="7">
        <v>1</v>
      </c>
      <c r="D48" s="7">
        <v>27</v>
      </c>
      <c r="E48" s="7">
        <v>8.5</v>
      </c>
      <c r="F48" s="7">
        <f t="shared" si="2"/>
        <v>229.5</v>
      </c>
      <c r="G48" s="7"/>
      <c r="H48" s="7"/>
      <c r="I48" s="7">
        <f>F48</f>
        <v>229.5</v>
      </c>
      <c r="J48" s="7"/>
      <c r="K48" s="7"/>
      <c r="L48" s="7"/>
      <c r="M48" s="8"/>
      <c r="N48" s="9"/>
    </row>
    <row r="49" spans="1:14" x14ac:dyDescent="0.25">
      <c r="A49" s="13">
        <v>3</v>
      </c>
      <c r="B49" s="12" t="s">
        <v>38</v>
      </c>
      <c r="C49" s="7">
        <v>1</v>
      </c>
      <c r="D49" s="7">
        <v>43</v>
      </c>
      <c r="E49" s="7">
        <v>4.6500000000000004</v>
      </c>
      <c r="F49" s="7">
        <f t="shared" si="2"/>
        <v>199.95000000000002</v>
      </c>
      <c r="G49" s="7"/>
      <c r="H49" s="7">
        <f t="shared" ref="H49:H60" si="3">F49</f>
        <v>199.95000000000002</v>
      </c>
      <c r="I49" s="7"/>
      <c r="J49" s="7"/>
      <c r="K49" s="7"/>
      <c r="L49" s="7"/>
      <c r="M49" s="8" t="s">
        <v>39</v>
      </c>
      <c r="N49" s="9"/>
    </row>
    <row r="50" spans="1:14" x14ac:dyDescent="0.25">
      <c r="A50" s="13"/>
      <c r="B50" s="12" t="s">
        <v>38</v>
      </c>
      <c r="C50" s="7">
        <v>1</v>
      </c>
      <c r="D50" s="7">
        <v>37</v>
      </c>
      <c r="E50" s="7">
        <v>5.25</v>
      </c>
      <c r="F50" s="7">
        <f t="shared" si="2"/>
        <v>194.25</v>
      </c>
      <c r="G50" s="7"/>
      <c r="H50" s="7">
        <f t="shared" si="3"/>
        <v>194.25</v>
      </c>
      <c r="I50" s="7"/>
      <c r="J50" s="7"/>
      <c r="K50" s="7"/>
      <c r="L50" s="7"/>
      <c r="M50" s="8" t="s">
        <v>40</v>
      </c>
      <c r="N50" s="9"/>
    </row>
    <row r="51" spans="1:14" x14ac:dyDescent="0.25">
      <c r="A51" s="13"/>
      <c r="B51" s="12" t="s">
        <v>38</v>
      </c>
      <c r="C51" s="7">
        <v>1</v>
      </c>
      <c r="D51" s="7">
        <v>29</v>
      </c>
      <c r="E51" s="7">
        <v>4.6500000000000004</v>
      </c>
      <c r="F51" s="7">
        <f t="shared" ref="F51:F54" si="4">C51*D51*E51</f>
        <v>134.85000000000002</v>
      </c>
      <c r="G51" s="7"/>
      <c r="H51" s="7">
        <f t="shared" si="3"/>
        <v>134.85000000000002</v>
      </c>
      <c r="I51" s="7"/>
      <c r="J51" s="7"/>
      <c r="K51" s="7"/>
      <c r="L51" s="7"/>
      <c r="M51" s="8" t="s">
        <v>36</v>
      </c>
      <c r="N51" s="9"/>
    </row>
    <row r="52" spans="1:14" x14ac:dyDescent="0.25">
      <c r="A52" s="13"/>
      <c r="B52" s="12" t="s">
        <v>38</v>
      </c>
      <c r="C52" s="7">
        <v>1</v>
      </c>
      <c r="D52" s="7">
        <v>25</v>
      </c>
      <c r="E52" s="7">
        <v>5.25</v>
      </c>
      <c r="F52" s="7">
        <f t="shared" si="4"/>
        <v>131.25</v>
      </c>
      <c r="G52" s="7"/>
      <c r="H52" s="7">
        <f t="shared" si="3"/>
        <v>131.25</v>
      </c>
      <c r="I52" s="7"/>
      <c r="J52" s="7"/>
      <c r="K52" s="7"/>
      <c r="L52" s="7"/>
      <c r="M52" s="8" t="s">
        <v>36</v>
      </c>
      <c r="N52" s="9"/>
    </row>
    <row r="53" spans="1:14" x14ac:dyDescent="0.25">
      <c r="A53" s="13">
        <v>4</v>
      </c>
      <c r="B53" s="12" t="s">
        <v>41</v>
      </c>
      <c r="C53" s="7">
        <v>1</v>
      </c>
      <c r="D53" s="7">
        <v>55</v>
      </c>
      <c r="E53" s="7">
        <v>5.48</v>
      </c>
      <c r="F53" s="7">
        <f t="shared" si="4"/>
        <v>301.40000000000003</v>
      </c>
      <c r="G53" s="7"/>
      <c r="H53" s="7">
        <f t="shared" si="3"/>
        <v>301.40000000000003</v>
      </c>
      <c r="I53" s="7"/>
      <c r="J53" s="7"/>
      <c r="K53" s="7"/>
      <c r="L53" s="7"/>
      <c r="M53" s="8" t="s">
        <v>29</v>
      </c>
      <c r="N53" s="9"/>
    </row>
    <row r="54" spans="1:14" x14ac:dyDescent="0.25">
      <c r="A54" s="13"/>
      <c r="B54" s="12" t="s">
        <v>41</v>
      </c>
      <c r="C54" s="7">
        <v>1</v>
      </c>
      <c r="D54" s="7">
        <v>39</v>
      </c>
      <c r="E54" s="7">
        <v>7.2</v>
      </c>
      <c r="F54" s="7">
        <f t="shared" si="4"/>
        <v>280.8</v>
      </c>
      <c r="G54" s="7"/>
      <c r="H54" s="7">
        <f t="shared" si="3"/>
        <v>280.8</v>
      </c>
      <c r="I54" s="7"/>
      <c r="J54" s="7"/>
      <c r="K54" s="7"/>
      <c r="L54" s="7"/>
      <c r="M54" s="8" t="s">
        <v>35</v>
      </c>
      <c r="N54" s="9"/>
    </row>
    <row r="55" spans="1:14" x14ac:dyDescent="0.25">
      <c r="A55" s="13"/>
      <c r="B55" s="12" t="s">
        <v>41</v>
      </c>
      <c r="C55" s="7">
        <v>1</v>
      </c>
      <c r="D55" s="7">
        <v>37</v>
      </c>
      <c r="E55" s="7">
        <v>5.48</v>
      </c>
      <c r="F55" s="7">
        <f t="shared" ref="F55:F60" si="5">C55*D55*E55</f>
        <v>202.76000000000002</v>
      </c>
      <c r="G55" s="7"/>
      <c r="H55" s="7">
        <f t="shared" si="3"/>
        <v>202.76000000000002</v>
      </c>
      <c r="I55" s="7"/>
      <c r="J55" s="7"/>
      <c r="K55" s="7"/>
      <c r="L55" s="7"/>
      <c r="M55" s="8" t="s">
        <v>21</v>
      </c>
      <c r="N55" s="9"/>
    </row>
    <row r="56" spans="1:14" x14ac:dyDescent="0.25">
      <c r="A56" s="13"/>
      <c r="B56" s="12" t="s">
        <v>41</v>
      </c>
      <c r="C56" s="7">
        <v>1</v>
      </c>
      <c r="D56" s="7">
        <v>25</v>
      </c>
      <c r="E56" s="7">
        <v>7.2</v>
      </c>
      <c r="F56" s="7">
        <f t="shared" si="5"/>
        <v>180</v>
      </c>
      <c r="G56" s="7"/>
      <c r="H56" s="7">
        <f t="shared" si="3"/>
        <v>180</v>
      </c>
      <c r="I56" s="7"/>
      <c r="J56" s="7"/>
      <c r="K56" s="7"/>
      <c r="L56" s="7"/>
      <c r="M56" s="8" t="s">
        <v>20</v>
      </c>
      <c r="N56" s="9"/>
    </row>
    <row r="57" spans="1:14" x14ac:dyDescent="0.25">
      <c r="A57" s="13">
        <v>5</v>
      </c>
      <c r="B57" s="12" t="s">
        <v>42</v>
      </c>
      <c r="C57" s="7">
        <v>1</v>
      </c>
      <c r="D57" s="7">
        <v>43</v>
      </c>
      <c r="E57" s="7">
        <v>4.6500000000000004</v>
      </c>
      <c r="F57" s="7">
        <f t="shared" si="5"/>
        <v>199.95000000000002</v>
      </c>
      <c r="G57" s="7"/>
      <c r="H57" s="7">
        <f t="shared" si="3"/>
        <v>199.95000000000002</v>
      </c>
      <c r="I57" s="7"/>
      <c r="J57" s="7"/>
      <c r="K57" s="7"/>
      <c r="L57" s="7"/>
      <c r="M57" s="8" t="s">
        <v>39</v>
      </c>
      <c r="N57" s="9"/>
    </row>
    <row r="58" spans="1:14" x14ac:dyDescent="0.25">
      <c r="A58" s="13"/>
      <c r="B58" s="12" t="s">
        <v>42</v>
      </c>
      <c r="C58" s="7">
        <v>1</v>
      </c>
      <c r="D58" s="7">
        <v>37</v>
      </c>
      <c r="E58" s="7">
        <v>5.25</v>
      </c>
      <c r="F58" s="7">
        <f t="shared" si="5"/>
        <v>194.25</v>
      </c>
      <c r="G58" s="7"/>
      <c r="H58" s="7">
        <f t="shared" si="3"/>
        <v>194.25</v>
      </c>
      <c r="I58" s="7"/>
      <c r="J58" s="7"/>
      <c r="K58" s="7"/>
      <c r="L58" s="7"/>
      <c r="M58" s="8" t="s">
        <v>40</v>
      </c>
      <c r="N58" s="9"/>
    </row>
    <row r="59" spans="1:14" x14ac:dyDescent="0.25">
      <c r="A59" s="13"/>
      <c r="B59" s="12" t="s">
        <v>42</v>
      </c>
      <c r="C59" s="7">
        <v>1</v>
      </c>
      <c r="D59" s="7">
        <v>29</v>
      </c>
      <c r="E59" s="7">
        <v>4.6500000000000004</v>
      </c>
      <c r="F59" s="7">
        <f t="shared" si="5"/>
        <v>134.85000000000002</v>
      </c>
      <c r="G59" s="7"/>
      <c r="H59" s="7">
        <f t="shared" si="3"/>
        <v>134.85000000000002</v>
      </c>
      <c r="I59" s="7"/>
      <c r="J59" s="7"/>
      <c r="K59" s="7"/>
      <c r="L59" s="7"/>
      <c r="M59" s="8" t="s">
        <v>36</v>
      </c>
      <c r="N59" s="9"/>
    </row>
    <row r="60" spans="1:14" x14ac:dyDescent="0.25">
      <c r="A60" s="13"/>
      <c r="B60" s="12" t="s">
        <v>42</v>
      </c>
      <c r="C60" s="7">
        <v>1</v>
      </c>
      <c r="D60" s="7">
        <v>25</v>
      </c>
      <c r="E60" s="7">
        <v>5.25</v>
      </c>
      <c r="F60" s="7">
        <f t="shared" si="5"/>
        <v>131.25</v>
      </c>
      <c r="G60" s="7"/>
      <c r="H60" s="7">
        <f t="shared" si="3"/>
        <v>131.25</v>
      </c>
      <c r="I60" s="7"/>
      <c r="J60" s="7"/>
      <c r="K60" s="7"/>
      <c r="L60" s="7"/>
      <c r="M60" s="8" t="s">
        <v>36</v>
      </c>
      <c r="N60" s="9"/>
    </row>
    <row r="61" spans="1:14" x14ac:dyDescent="0.25">
      <c r="A61" s="9"/>
      <c r="B61" s="9"/>
      <c r="C61" s="9"/>
      <c r="D61" s="9"/>
      <c r="E61" s="9"/>
      <c r="F61" s="9"/>
      <c r="G61" s="14"/>
      <c r="H61" s="14">
        <f>SUM(H41:H60)</f>
        <v>2285.56</v>
      </c>
      <c r="I61" s="14">
        <f>SUM(I41:I60)</f>
        <v>1025.0999999999999</v>
      </c>
      <c r="J61" s="14">
        <f>SUM(J41:J60)</f>
        <v>795.6</v>
      </c>
      <c r="K61" s="14"/>
      <c r="L61" s="14"/>
      <c r="M61" s="14"/>
      <c r="N61" s="9"/>
    </row>
    <row r="62" spans="1:14" x14ac:dyDescent="0.25">
      <c r="A62" s="9"/>
      <c r="B62" s="9"/>
      <c r="C62" s="9"/>
      <c r="D62" s="9"/>
      <c r="E62" s="9"/>
      <c r="F62" s="9"/>
      <c r="G62" s="14"/>
      <c r="H62" s="14">
        <v>0.88880000000000003</v>
      </c>
      <c r="I62" s="14">
        <v>1.58</v>
      </c>
      <c r="J62" s="14">
        <v>2.4689999999999999</v>
      </c>
      <c r="K62" s="14"/>
      <c r="L62" s="14"/>
      <c r="M62" s="14"/>
      <c r="N62" s="9"/>
    </row>
    <row r="63" spans="1:14" x14ac:dyDescent="0.25">
      <c r="A63" s="9"/>
      <c r="B63" s="9"/>
      <c r="C63" s="9"/>
      <c r="D63" s="9"/>
      <c r="E63" s="9"/>
      <c r="F63" s="9"/>
      <c r="G63" s="14"/>
      <c r="H63" s="14">
        <f>H61*H62</f>
        <v>2031.405728</v>
      </c>
      <c r="I63" s="14">
        <f>I61*I62</f>
        <v>1619.6579999999999</v>
      </c>
      <c r="J63" s="11">
        <f>J61*J62</f>
        <v>1964.3363999999999</v>
      </c>
      <c r="K63" s="14"/>
      <c r="L63" s="14"/>
      <c r="M63" s="14"/>
      <c r="N63" s="9"/>
    </row>
    <row r="64" spans="1:14" x14ac:dyDescent="0.25">
      <c r="A64" s="1"/>
      <c r="B64" s="1"/>
      <c r="C64" s="1"/>
      <c r="D64" s="1"/>
      <c r="E64" s="1"/>
      <c r="F64" s="1"/>
      <c r="G64" s="15">
        <v>0.05</v>
      </c>
      <c r="H64" s="16">
        <f>G64*H63</f>
        <v>101.5702864</v>
      </c>
      <c r="I64" s="16">
        <f>G64*I63</f>
        <v>80.982900000000001</v>
      </c>
      <c r="J64" s="16">
        <f>G64*J63</f>
        <v>98.216819999999998</v>
      </c>
      <c r="K64" s="1"/>
      <c r="L64" s="1"/>
      <c r="M64" s="3"/>
      <c r="N64" s="1"/>
    </row>
    <row r="65" spans="1:14" ht="15.75" x14ac:dyDescent="0.25">
      <c r="A65" s="1"/>
      <c r="B65" s="1"/>
      <c r="C65" s="1"/>
      <c r="D65" s="1"/>
      <c r="E65" s="1"/>
      <c r="F65" s="1"/>
      <c r="G65" s="16"/>
      <c r="H65" s="16">
        <f>SUM(H63:H64)</f>
        <v>2132.9760144000002</v>
      </c>
      <c r="I65" s="16">
        <f>SUM(I63:I64)</f>
        <v>1700.6408999999999</v>
      </c>
      <c r="J65" s="17">
        <f>SUM(J63:J64)</f>
        <v>2062.5532199999998</v>
      </c>
      <c r="K65" s="1"/>
      <c r="L65" s="1"/>
      <c r="M65" s="20">
        <f>H65+I65+J65</f>
        <v>5896.1701343999994</v>
      </c>
      <c r="N65" s="1"/>
    </row>
    <row r="69" spans="1:14" x14ac:dyDescent="0.25">
      <c r="A69" s="50" t="s">
        <v>43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</row>
    <row r="70" spans="1:14" x14ac:dyDescent="0.25">
      <c r="A70" s="5" t="s">
        <v>0</v>
      </c>
      <c r="B70" s="5" t="s">
        <v>1</v>
      </c>
      <c r="C70" s="5" t="s">
        <v>4</v>
      </c>
      <c r="D70" s="5" t="s">
        <v>12</v>
      </c>
      <c r="E70" s="5" t="s">
        <v>2</v>
      </c>
      <c r="F70" s="5" t="s">
        <v>3</v>
      </c>
      <c r="G70" s="5" t="s">
        <v>5</v>
      </c>
      <c r="H70" s="5" t="s">
        <v>6</v>
      </c>
      <c r="I70" s="5" t="s">
        <v>7</v>
      </c>
      <c r="J70" s="5" t="s">
        <v>8</v>
      </c>
      <c r="K70" s="5" t="s">
        <v>9</v>
      </c>
      <c r="L70" s="5" t="s">
        <v>10</v>
      </c>
      <c r="M70" s="5" t="s">
        <v>13</v>
      </c>
      <c r="N70" s="6"/>
    </row>
    <row r="71" spans="1:14" x14ac:dyDescent="0.25">
      <c r="A71" s="13">
        <v>1</v>
      </c>
      <c r="B71" s="25" t="s">
        <v>44</v>
      </c>
      <c r="C71" s="7">
        <v>1</v>
      </c>
      <c r="D71" s="7">
        <v>48</v>
      </c>
      <c r="E71" s="7">
        <v>6</v>
      </c>
      <c r="F71" s="7">
        <f t="shared" ref="F71:F115" si="6">C71*D71*E71</f>
        <v>288</v>
      </c>
      <c r="G71" s="7"/>
      <c r="H71" s="7"/>
      <c r="I71" s="7"/>
      <c r="J71" s="7"/>
      <c r="K71" s="7"/>
      <c r="L71" s="7">
        <f>F71</f>
        <v>288</v>
      </c>
      <c r="M71" s="8"/>
      <c r="N71" s="9"/>
    </row>
    <row r="72" spans="1:14" x14ac:dyDescent="0.25">
      <c r="A72" s="13"/>
      <c r="B72" s="12" t="s">
        <v>48</v>
      </c>
      <c r="C72" s="7">
        <v>1</v>
      </c>
      <c r="D72" s="7">
        <v>22</v>
      </c>
      <c r="E72" s="7">
        <v>4.33</v>
      </c>
      <c r="F72" s="7">
        <f t="shared" si="6"/>
        <v>95.26</v>
      </c>
      <c r="G72" s="7">
        <f>F72</f>
        <v>95.26</v>
      </c>
      <c r="H72" s="7"/>
      <c r="I72" s="7"/>
      <c r="J72" s="7"/>
      <c r="K72" s="7"/>
      <c r="L72" s="7"/>
      <c r="M72" s="8"/>
      <c r="N72" s="9"/>
    </row>
    <row r="73" spans="1:14" x14ac:dyDescent="0.25">
      <c r="A73" s="13"/>
      <c r="B73" s="12" t="s">
        <v>48</v>
      </c>
      <c r="C73" s="7">
        <v>3</v>
      </c>
      <c r="D73" s="7">
        <v>22</v>
      </c>
      <c r="E73" s="7">
        <v>3</v>
      </c>
      <c r="F73" s="7">
        <f t="shared" si="6"/>
        <v>198</v>
      </c>
      <c r="G73" s="7">
        <f>F73</f>
        <v>198</v>
      </c>
      <c r="H73" s="7"/>
      <c r="I73" s="7"/>
      <c r="J73" s="7"/>
      <c r="K73" s="7"/>
      <c r="L73" s="7"/>
      <c r="M73" s="8"/>
      <c r="N73" s="9"/>
    </row>
    <row r="74" spans="1:14" x14ac:dyDescent="0.25">
      <c r="A74" s="13"/>
      <c r="B74" s="12" t="s">
        <v>48</v>
      </c>
      <c r="C74" s="7">
        <v>4</v>
      </c>
      <c r="D74" s="7">
        <v>22</v>
      </c>
      <c r="E74" s="7">
        <v>2.09</v>
      </c>
      <c r="F74" s="7">
        <f t="shared" si="6"/>
        <v>183.92</v>
      </c>
      <c r="G74" s="7"/>
      <c r="H74" s="7"/>
      <c r="I74" s="7"/>
      <c r="J74" s="7"/>
      <c r="K74" s="7"/>
      <c r="L74" s="7"/>
      <c r="M74" s="8"/>
      <c r="N74" s="9"/>
    </row>
    <row r="75" spans="1:14" x14ac:dyDescent="0.25">
      <c r="A75" s="13">
        <v>2</v>
      </c>
      <c r="B75" s="25" t="s">
        <v>45</v>
      </c>
      <c r="C75" s="7">
        <v>1</v>
      </c>
      <c r="D75" s="7">
        <v>32</v>
      </c>
      <c r="E75" s="7">
        <v>6</v>
      </c>
      <c r="F75" s="7">
        <f t="shared" si="6"/>
        <v>192</v>
      </c>
      <c r="G75" s="7"/>
      <c r="H75" s="7"/>
      <c r="I75" s="7"/>
      <c r="J75" s="7">
        <f>F75</f>
        <v>192</v>
      </c>
      <c r="K75" s="7"/>
      <c r="L75" s="7"/>
      <c r="M75" s="8"/>
      <c r="N75" s="9"/>
    </row>
    <row r="76" spans="1:14" x14ac:dyDescent="0.25">
      <c r="A76" s="13"/>
      <c r="B76" s="12" t="s">
        <v>48</v>
      </c>
      <c r="C76" s="7">
        <v>1</v>
      </c>
      <c r="D76" s="7">
        <v>22</v>
      </c>
      <c r="E76" s="7">
        <v>4.33</v>
      </c>
      <c r="F76" s="7">
        <f t="shared" si="6"/>
        <v>95.26</v>
      </c>
      <c r="G76" s="7">
        <f>F76</f>
        <v>95.26</v>
      </c>
      <c r="H76" s="7"/>
      <c r="I76" s="7"/>
      <c r="J76" s="7"/>
      <c r="K76" s="7"/>
      <c r="L76" s="7"/>
      <c r="M76" s="8"/>
      <c r="N76" s="9"/>
    </row>
    <row r="77" spans="1:14" x14ac:dyDescent="0.25">
      <c r="A77" s="13"/>
      <c r="B77" s="12" t="s">
        <v>48</v>
      </c>
      <c r="C77" s="7">
        <v>3</v>
      </c>
      <c r="D77" s="7">
        <v>22</v>
      </c>
      <c r="E77" s="7">
        <v>3</v>
      </c>
      <c r="F77" s="7">
        <f t="shared" si="6"/>
        <v>198</v>
      </c>
      <c r="G77" s="7">
        <f>F77</f>
        <v>198</v>
      </c>
      <c r="H77" s="7"/>
      <c r="I77" s="7"/>
      <c r="J77" s="7"/>
      <c r="K77" s="7"/>
      <c r="L77" s="7"/>
      <c r="M77" s="8"/>
      <c r="N77" s="9"/>
    </row>
    <row r="78" spans="1:14" x14ac:dyDescent="0.25">
      <c r="A78" s="13"/>
      <c r="B78" s="12" t="s">
        <v>48</v>
      </c>
      <c r="C78" s="7">
        <v>4</v>
      </c>
      <c r="D78" s="7">
        <v>22</v>
      </c>
      <c r="E78" s="7">
        <v>2.09</v>
      </c>
      <c r="F78" s="7">
        <f t="shared" si="6"/>
        <v>183.92</v>
      </c>
      <c r="G78" s="7"/>
      <c r="H78" s="7"/>
      <c r="I78" s="7"/>
      <c r="J78" s="7"/>
      <c r="K78" s="7"/>
      <c r="L78" s="7"/>
      <c r="M78" s="8"/>
      <c r="N78" s="9"/>
    </row>
    <row r="79" spans="1:14" x14ac:dyDescent="0.25">
      <c r="A79" s="13">
        <v>3</v>
      </c>
      <c r="B79" s="25" t="s">
        <v>46</v>
      </c>
      <c r="C79" s="7">
        <v>2</v>
      </c>
      <c r="D79" s="7">
        <v>32</v>
      </c>
      <c r="E79" s="7">
        <v>6</v>
      </c>
      <c r="F79" s="7">
        <f t="shared" si="6"/>
        <v>384</v>
      </c>
      <c r="G79" s="7"/>
      <c r="H79" s="7"/>
      <c r="I79" s="7"/>
      <c r="J79" s="7">
        <f>F79</f>
        <v>384</v>
      </c>
      <c r="K79" s="7"/>
      <c r="L79" s="7"/>
      <c r="M79" s="8"/>
      <c r="N79" s="9"/>
    </row>
    <row r="80" spans="1:14" x14ac:dyDescent="0.25">
      <c r="A80" s="13"/>
      <c r="B80" s="12" t="s">
        <v>48</v>
      </c>
      <c r="C80" s="7">
        <v>1</v>
      </c>
      <c r="D80" s="7">
        <v>22</v>
      </c>
      <c r="E80" s="7">
        <v>4.33</v>
      </c>
      <c r="F80" s="7">
        <f t="shared" si="6"/>
        <v>95.26</v>
      </c>
      <c r="G80" s="7">
        <f>F80</f>
        <v>95.26</v>
      </c>
      <c r="H80" s="7"/>
      <c r="I80" s="7"/>
      <c r="J80" s="7"/>
      <c r="K80" s="7"/>
      <c r="L80" s="7"/>
      <c r="M80" s="8"/>
      <c r="N80" s="9"/>
    </row>
    <row r="81" spans="1:14" x14ac:dyDescent="0.25">
      <c r="A81" s="13"/>
      <c r="B81" s="12" t="s">
        <v>48</v>
      </c>
      <c r="C81" s="7">
        <v>3</v>
      </c>
      <c r="D81" s="7">
        <v>22</v>
      </c>
      <c r="E81" s="7">
        <v>3</v>
      </c>
      <c r="F81" s="7">
        <f t="shared" si="6"/>
        <v>198</v>
      </c>
      <c r="G81" s="7">
        <f>F81</f>
        <v>198</v>
      </c>
      <c r="H81" s="7"/>
      <c r="I81" s="7"/>
      <c r="J81" s="7"/>
      <c r="K81" s="7"/>
      <c r="L81" s="7"/>
      <c r="M81" s="8"/>
      <c r="N81" s="9"/>
    </row>
    <row r="82" spans="1:14" x14ac:dyDescent="0.25">
      <c r="A82" s="13"/>
      <c r="B82" s="12" t="s">
        <v>48</v>
      </c>
      <c r="C82" s="7">
        <v>4</v>
      </c>
      <c r="D82" s="7">
        <v>22</v>
      </c>
      <c r="E82" s="7">
        <v>2.09</v>
      </c>
      <c r="F82" s="7">
        <f t="shared" si="6"/>
        <v>183.92</v>
      </c>
      <c r="G82" s="7"/>
      <c r="H82" s="7"/>
      <c r="I82" s="7"/>
      <c r="J82" s="7"/>
      <c r="K82" s="7"/>
      <c r="L82" s="7"/>
      <c r="M82" s="8"/>
      <c r="N82" s="9"/>
    </row>
    <row r="83" spans="1:14" x14ac:dyDescent="0.25">
      <c r="A83" s="13">
        <v>4</v>
      </c>
      <c r="B83" s="25" t="s">
        <v>47</v>
      </c>
      <c r="C83" s="7">
        <v>3</v>
      </c>
      <c r="D83" s="7">
        <v>40</v>
      </c>
      <c r="E83" s="7">
        <v>6</v>
      </c>
      <c r="F83" s="7">
        <f t="shared" si="6"/>
        <v>720</v>
      </c>
      <c r="G83" s="7"/>
      <c r="H83" s="7"/>
      <c r="I83" s="7"/>
      <c r="J83" s="7"/>
      <c r="K83" s="7"/>
      <c r="L83" s="7">
        <f>F83</f>
        <v>720</v>
      </c>
      <c r="M83" s="8"/>
      <c r="N83" s="9"/>
    </row>
    <row r="84" spans="1:14" x14ac:dyDescent="0.25">
      <c r="A84" s="13"/>
      <c r="B84" s="12" t="s">
        <v>48</v>
      </c>
      <c r="C84" s="7">
        <v>3</v>
      </c>
      <c r="D84" s="7">
        <v>22</v>
      </c>
      <c r="E84" s="7">
        <v>3.43</v>
      </c>
      <c r="F84" s="7">
        <f t="shared" si="6"/>
        <v>226.38000000000002</v>
      </c>
      <c r="G84" s="7">
        <f>F84</f>
        <v>226.38000000000002</v>
      </c>
      <c r="H84" s="7"/>
      <c r="I84" s="7"/>
      <c r="J84" s="7"/>
      <c r="K84" s="7"/>
      <c r="L84" s="7"/>
      <c r="M84" s="8"/>
      <c r="N84" s="9"/>
    </row>
    <row r="85" spans="1:14" x14ac:dyDescent="0.25">
      <c r="A85" s="13"/>
      <c r="B85" s="12" t="s">
        <v>48</v>
      </c>
      <c r="C85" s="7">
        <v>3</v>
      </c>
      <c r="D85" s="7">
        <v>132</v>
      </c>
      <c r="E85" s="7">
        <v>2.09</v>
      </c>
      <c r="F85" s="7">
        <f t="shared" si="6"/>
        <v>827.64</v>
      </c>
      <c r="G85" s="7">
        <f>F85</f>
        <v>827.64</v>
      </c>
      <c r="H85" s="7"/>
      <c r="I85" s="7"/>
      <c r="J85" s="7"/>
      <c r="K85" s="7"/>
      <c r="L85" s="7"/>
      <c r="M85" s="8"/>
      <c r="N85" s="9"/>
    </row>
    <row r="86" spans="1:14" x14ac:dyDescent="0.25">
      <c r="A86" s="13">
        <v>5</v>
      </c>
      <c r="B86" s="25" t="s">
        <v>49</v>
      </c>
      <c r="C86" s="7">
        <v>2</v>
      </c>
      <c r="D86" s="7">
        <v>32</v>
      </c>
      <c r="E86" s="7">
        <v>6</v>
      </c>
      <c r="F86" s="7">
        <f t="shared" si="6"/>
        <v>384</v>
      </c>
      <c r="G86" s="7"/>
      <c r="H86" s="7"/>
      <c r="I86" s="7"/>
      <c r="J86" s="7"/>
      <c r="K86" s="7">
        <f>F86</f>
        <v>384</v>
      </c>
      <c r="L86" s="7"/>
      <c r="M86" s="8"/>
      <c r="N86" s="9"/>
    </row>
    <row r="87" spans="1:14" x14ac:dyDescent="0.25">
      <c r="A87" s="13"/>
      <c r="B87" s="12" t="s">
        <v>48</v>
      </c>
      <c r="C87" s="7">
        <v>3</v>
      </c>
      <c r="D87" s="7">
        <v>22</v>
      </c>
      <c r="E87" s="7">
        <v>3.43</v>
      </c>
      <c r="F87" s="7">
        <f t="shared" si="6"/>
        <v>226.38000000000002</v>
      </c>
      <c r="G87" s="7">
        <f>F87</f>
        <v>226.38000000000002</v>
      </c>
      <c r="H87" s="7"/>
      <c r="I87" s="7"/>
      <c r="J87" s="7"/>
      <c r="K87" s="7"/>
      <c r="L87" s="7"/>
      <c r="M87" s="8"/>
      <c r="N87" s="9"/>
    </row>
    <row r="88" spans="1:14" x14ac:dyDescent="0.25">
      <c r="A88" s="13"/>
      <c r="B88" s="12" t="s">
        <v>48</v>
      </c>
      <c r="C88" s="7">
        <v>3</v>
      </c>
      <c r="D88" s="7">
        <v>132</v>
      </c>
      <c r="E88" s="7">
        <v>2.09</v>
      </c>
      <c r="F88" s="7">
        <f t="shared" si="6"/>
        <v>827.64</v>
      </c>
      <c r="G88" s="7">
        <f>F88</f>
        <v>827.64</v>
      </c>
      <c r="H88" s="7"/>
      <c r="I88" s="7"/>
      <c r="J88" s="7"/>
      <c r="K88" s="7"/>
      <c r="L88" s="7"/>
      <c r="M88" s="8"/>
      <c r="N88" s="9"/>
    </row>
    <row r="89" spans="1:14" x14ac:dyDescent="0.25">
      <c r="A89" s="13">
        <v>6</v>
      </c>
      <c r="B89" s="25" t="s">
        <v>50</v>
      </c>
      <c r="C89" s="7">
        <v>2</v>
      </c>
      <c r="D89" s="7">
        <v>32</v>
      </c>
      <c r="E89" s="7">
        <v>6</v>
      </c>
      <c r="F89" s="7">
        <f t="shared" si="6"/>
        <v>384</v>
      </c>
      <c r="G89" s="7"/>
      <c r="H89" s="7"/>
      <c r="I89" s="7"/>
      <c r="J89" s="7"/>
      <c r="K89" s="7">
        <f>F89</f>
        <v>384</v>
      </c>
      <c r="L89" s="7"/>
      <c r="M89" s="8"/>
      <c r="N89" s="9"/>
    </row>
    <row r="90" spans="1:14" x14ac:dyDescent="0.25">
      <c r="A90" s="13"/>
      <c r="B90" s="12" t="s">
        <v>48</v>
      </c>
      <c r="C90" s="7">
        <v>3</v>
      </c>
      <c r="D90" s="7">
        <v>22</v>
      </c>
      <c r="E90" s="7">
        <v>3.43</v>
      </c>
      <c r="F90" s="7">
        <f t="shared" si="6"/>
        <v>226.38000000000002</v>
      </c>
      <c r="G90" s="7">
        <f>F90</f>
        <v>226.38000000000002</v>
      </c>
      <c r="H90" s="7"/>
      <c r="I90" s="7"/>
      <c r="J90" s="7"/>
      <c r="K90" s="7"/>
      <c r="L90" s="7"/>
      <c r="M90" s="8"/>
      <c r="N90" s="9"/>
    </row>
    <row r="91" spans="1:14" x14ac:dyDescent="0.25">
      <c r="A91" s="13"/>
      <c r="B91" s="12" t="s">
        <v>48</v>
      </c>
      <c r="C91" s="7">
        <v>3</v>
      </c>
      <c r="D91" s="7">
        <v>132</v>
      </c>
      <c r="E91" s="7">
        <v>2.09</v>
      </c>
      <c r="F91" s="7">
        <f t="shared" si="6"/>
        <v>827.64</v>
      </c>
      <c r="G91" s="7">
        <f>F91</f>
        <v>827.64</v>
      </c>
      <c r="H91" s="7"/>
      <c r="I91" s="7"/>
      <c r="J91" s="7"/>
      <c r="K91" s="7"/>
      <c r="L91" s="7"/>
      <c r="M91" s="8"/>
      <c r="N91" s="9"/>
    </row>
    <row r="92" spans="1:14" x14ac:dyDescent="0.25">
      <c r="A92" s="13">
        <v>7</v>
      </c>
      <c r="B92" s="25" t="s">
        <v>51</v>
      </c>
      <c r="C92" s="7">
        <v>2</v>
      </c>
      <c r="D92" s="7">
        <v>14</v>
      </c>
      <c r="E92" s="7">
        <v>6</v>
      </c>
      <c r="F92" s="7">
        <f t="shared" si="6"/>
        <v>168</v>
      </c>
      <c r="G92" s="7"/>
      <c r="H92" s="7"/>
      <c r="I92" s="7"/>
      <c r="J92" s="7"/>
      <c r="K92" s="7">
        <f>F92</f>
        <v>168</v>
      </c>
      <c r="L92" s="7"/>
      <c r="M92" s="8"/>
      <c r="N92" s="9"/>
    </row>
    <row r="93" spans="1:14" x14ac:dyDescent="0.25">
      <c r="A93" s="13"/>
      <c r="B93" s="12" t="s">
        <v>48</v>
      </c>
      <c r="C93" s="7">
        <v>2</v>
      </c>
      <c r="D93" s="7">
        <v>22</v>
      </c>
      <c r="E93" s="7">
        <v>1.78</v>
      </c>
      <c r="F93" s="7">
        <f t="shared" si="6"/>
        <v>78.320000000000007</v>
      </c>
      <c r="G93" s="7">
        <f>F93</f>
        <v>78.320000000000007</v>
      </c>
      <c r="H93" s="7"/>
      <c r="I93" s="7"/>
      <c r="J93" s="7"/>
      <c r="K93" s="7"/>
      <c r="L93" s="7"/>
      <c r="M93" s="8"/>
      <c r="N93" s="9"/>
    </row>
    <row r="94" spans="1:14" x14ac:dyDescent="0.25">
      <c r="A94" s="13"/>
      <c r="B94" s="12" t="s">
        <v>48</v>
      </c>
      <c r="C94" s="7">
        <v>2</v>
      </c>
      <c r="D94" s="7">
        <v>44</v>
      </c>
      <c r="E94" s="7">
        <v>1.04</v>
      </c>
      <c r="F94" s="7">
        <f t="shared" si="6"/>
        <v>91.52000000000001</v>
      </c>
      <c r="G94" s="7">
        <f>F94</f>
        <v>91.52000000000001</v>
      </c>
      <c r="H94" s="7"/>
      <c r="I94" s="7"/>
      <c r="J94" s="7"/>
      <c r="K94" s="7"/>
      <c r="L94" s="7"/>
      <c r="M94" s="8"/>
      <c r="N94" s="9"/>
    </row>
    <row r="95" spans="1:14" x14ac:dyDescent="0.25">
      <c r="A95" s="13">
        <v>8</v>
      </c>
      <c r="B95" s="25" t="s">
        <v>52</v>
      </c>
      <c r="C95" s="7">
        <v>1</v>
      </c>
      <c r="D95" s="7">
        <v>12</v>
      </c>
      <c r="E95" s="7">
        <v>6</v>
      </c>
      <c r="F95" s="7">
        <f t="shared" si="6"/>
        <v>72</v>
      </c>
      <c r="G95" s="7"/>
      <c r="H95" s="7"/>
      <c r="I95" s="7"/>
      <c r="J95" s="7"/>
      <c r="K95" s="7">
        <f>F95</f>
        <v>72</v>
      </c>
      <c r="L95" s="7"/>
      <c r="M95" s="8"/>
      <c r="N95" s="9"/>
    </row>
    <row r="96" spans="1:14" x14ac:dyDescent="0.25">
      <c r="A96" s="13"/>
      <c r="B96" s="12" t="s">
        <v>48</v>
      </c>
      <c r="C96" s="7">
        <v>2</v>
      </c>
      <c r="D96" s="7">
        <v>22</v>
      </c>
      <c r="E96" s="7">
        <v>1.78</v>
      </c>
      <c r="F96" s="7">
        <f t="shared" si="6"/>
        <v>78.320000000000007</v>
      </c>
      <c r="G96" s="7">
        <f>F96</f>
        <v>78.320000000000007</v>
      </c>
      <c r="H96" s="7"/>
      <c r="I96" s="7"/>
      <c r="J96" s="7"/>
      <c r="K96" s="7"/>
      <c r="L96" s="7"/>
      <c r="M96" s="8"/>
      <c r="N96" s="9"/>
    </row>
    <row r="97" spans="1:14" x14ac:dyDescent="0.25">
      <c r="A97" s="13"/>
      <c r="B97" s="12" t="s">
        <v>48</v>
      </c>
      <c r="C97" s="7">
        <v>2</v>
      </c>
      <c r="D97" s="7">
        <v>44</v>
      </c>
      <c r="E97" s="7">
        <v>1.04</v>
      </c>
      <c r="F97" s="7">
        <f t="shared" si="6"/>
        <v>91.52000000000001</v>
      </c>
      <c r="G97" s="7">
        <f>F97</f>
        <v>91.52000000000001</v>
      </c>
      <c r="H97" s="7"/>
      <c r="I97" s="7"/>
      <c r="J97" s="7"/>
      <c r="K97" s="7"/>
      <c r="L97" s="7"/>
      <c r="M97" s="8"/>
      <c r="N97" s="9"/>
    </row>
    <row r="98" spans="1:14" x14ac:dyDescent="0.25">
      <c r="A98" s="13">
        <v>9</v>
      </c>
      <c r="B98" s="25" t="s">
        <v>53</v>
      </c>
      <c r="C98" s="7">
        <v>1</v>
      </c>
      <c r="D98" s="7">
        <v>12</v>
      </c>
      <c r="E98" s="7">
        <v>6</v>
      </c>
      <c r="F98" s="7">
        <f t="shared" si="6"/>
        <v>72</v>
      </c>
      <c r="G98" s="7"/>
      <c r="H98" s="7"/>
      <c r="I98" s="7"/>
      <c r="J98" s="7"/>
      <c r="K98" s="7">
        <f>F98</f>
        <v>72</v>
      </c>
      <c r="L98" s="7"/>
      <c r="M98" s="8"/>
      <c r="N98" s="9"/>
    </row>
    <row r="99" spans="1:14" x14ac:dyDescent="0.25">
      <c r="A99" s="13"/>
      <c r="B99" s="12" t="s">
        <v>48</v>
      </c>
      <c r="C99" s="7">
        <v>2</v>
      </c>
      <c r="D99" s="7">
        <v>22</v>
      </c>
      <c r="E99" s="7">
        <v>1.78</v>
      </c>
      <c r="F99" s="7">
        <f t="shared" si="6"/>
        <v>78.320000000000007</v>
      </c>
      <c r="G99" s="7">
        <f>F99</f>
        <v>78.320000000000007</v>
      </c>
      <c r="H99" s="7"/>
      <c r="I99" s="7"/>
      <c r="J99" s="7"/>
      <c r="K99" s="7"/>
      <c r="L99" s="7"/>
      <c r="M99" s="8"/>
      <c r="N99" s="9"/>
    </row>
    <row r="100" spans="1:14" x14ac:dyDescent="0.25">
      <c r="A100" s="13"/>
      <c r="B100" s="12" t="s">
        <v>48</v>
      </c>
      <c r="C100" s="7">
        <v>2</v>
      </c>
      <c r="D100" s="7">
        <v>44</v>
      </c>
      <c r="E100" s="7">
        <v>1.04</v>
      </c>
      <c r="F100" s="7">
        <f t="shared" si="6"/>
        <v>91.52000000000001</v>
      </c>
      <c r="G100" s="7">
        <f>F100</f>
        <v>91.52000000000001</v>
      </c>
      <c r="H100" s="7"/>
      <c r="I100" s="7"/>
      <c r="J100" s="7"/>
      <c r="K100" s="7"/>
      <c r="L100" s="7"/>
      <c r="M100" s="8"/>
      <c r="N100" s="9"/>
    </row>
    <row r="101" spans="1:14" x14ac:dyDescent="0.25">
      <c r="A101" s="13">
        <v>10</v>
      </c>
      <c r="B101" s="25" t="s">
        <v>54</v>
      </c>
      <c r="C101" s="7">
        <v>1</v>
      </c>
      <c r="D101" s="7">
        <v>12</v>
      </c>
      <c r="E101" s="7">
        <v>6</v>
      </c>
      <c r="F101" s="7">
        <f t="shared" si="6"/>
        <v>72</v>
      </c>
      <c r="G101" s="7"/>
      <c r="H101" s="7"/>
      <c r="I101" s="7"/>
      <c r="J101" s="7">
        <f>F101</f>
        <v>72</v>
      </c>
      <c r="K101" s="7"/>
      <c r="L101" s="7"/>
      <c r="M101" s="8"/>
      <c r="N101" s="9"/>
    </row>
    <row r="102" spans="1:14" x14ac:dyDescent="0.25">
      <c r="A102" s="13"/>
      <c r="B102" s="12" t="s">
        <v>48</v>
      </c>
      <c r="C102" s="7">
        <v>2</v>
      </c>
      <c r="D102" s="7">
        <v>22</v>
      </c>
      <c r="E102" s="7">
        <v>1.78</v>
      </c>
      <c r="F102" s="7">
        <f t="shared" si="6"/>
        <v>78.320000000000007</v>
      </c>
      <c r="G102" s="7">
        <f>F102</f>
        <v>78.320000000000007</v>
      </c>
      <c r="H102" s="7"/>
      <c r="I102" s="7"/>
      <c r="J102" s="7"/>
      <c r="K102" s="7"/>
      <c r="L102" s="7"/>
      <c r="M102" s="8"/>
      <c r="N102" s="9"/>
    </row>
    <row r="103" spans="1:14" x14ac:dyDescent="0.25">
      <c r="A103" s="13"/>
      <c r="B103" s="12" t="s">
        <v>48</v>
      </c>
      <c r="C103" s="7">
        <v>2</v>
      </c>
      <c r="D103" s="7">
        <v>44</v>
      </c>
      <c r="E103" s="7">
        <v>1.04</v>
      </c>
      <c r="F103" s="7">
        <f t="shared" si="6"/>
        <v>91.52000000000001</v>
      </c>
      <c r="G103" s="7">
        <f>F103</f>
        <v>91.52000000000001</v>
      </c>
      <c r="H103" s="7"/>
      <c r="I103" s="7"/>
      <c r="J103" s="7"/>
      <c r="K103" s="7"/>
      <c r="L103" s="7"/>
      <c r="M103" s="8"/>
      <c r="N103" s="9"/>
    </row>
    <row r="104" spans="1:14" x14ac:dyDescent="0.25">
      <c r="A104" s="13">
        <v>11</v>
      </c>
      <c r="B104" s="25" t="s">
        <v>55</v>
      </c>
      <c r="C104" s="7">
        <v>14</v>
      </c>
      <c r="D104" s="7">
        <v>10</v>
      </c>
      <c r="E104" s="7">
        <v>6</v>
      </c>
      <c r="F104" s="7">
        <f t="shared" si="6"/>
        <v>840</v>
      </c>
      <c r="G104" s="7"/>
      <c r="H104" s="7"/>
      <c r="I104" s="7"/>
      <c r="J104" s="7"/>
      <c r="K104" s="7">
        <f>F104</f>
        <v>840</v>
      </c>
      <c r="L104" s="7"/>
      <c r="M104" s="8"/>
      <c r="N104" s="9"/>
    </row>
    <row r="105" spans="1:14" x14ac:dyDescent="0.25">
      <c r="A105" s="13"/>
      <c r="B105" s="12" t="s">
        <v>48</v>
      </c>
      <c r="C105" s="7">
        <v>2</v>
      </c>
      <c r="D105" s="7">
        <v>22</v>
      </c>
      <c r="E105" s="7">
        <v>1.78</v>
      </c>
      <c r="F105" s="7">
        <f t="shared" si="6"/>
        <v>78.320000000000007</v>
      </c>
      <c r="G105" s="7">
        <f>F105</f>
        <v>78.320000000000007</v>
      </c>
      <c r="H105" s="7"/>
      <c r="I105" s="7"/>
      <c r="J105" s="7"/>
      <c r="K105" s="7"/>
      <c r="L105" s="7"/>
      <c r="M105" s="8"/>
      <c r="N105" s="9"/>
    </row>
    <row r="106" spans="1:14" x14ac:dyDescent="0.25">
      <c r="A106" s="13"/>
      <c r="B106" s="12" t="s">
        <v>48</v>
      </c>
      <c r="C106" s="7">
        <v>2</v>
      </c>
      <c r="D106" s="7">
        <v>44</v>
      </c>
      <c r="E106" s="7">
        <v>1.04</v>
      </c>
      <c r="F106" s="7">
        <f t="shared" si="6"/>
        <v>91.52000000000001</v>
      </c>
      <c r="G106" s="7">
        <f>F106</f>
        <v>91.52000000000001</v>
      </c>
      <c r="H106" s="7"/>
      <c r="I106" s="7"/>
      <c r="J106" s="7"/>
      <c r="K106" s="7"/>
      <c r="L106" s="7"/>
      <c r="M106" s="8"/>
      <c r="N106" s="9"/>
    </row>
    <row r="107" spans="1:14" x14ac:dyDescent="0.25">
      <c r="A107" s="13">
        <v>12</v>
      </c>
      <c r="B107" s="25" t="s">
        <v>56</v>
      </c>
      <c r="C107" s="7">
        <v>6</v>
      </c>
      <c r="D107" s="7">
        <v>12</v>
      </c>
      <c r="E107" s="7">
        <v>6</v>
      </c>
      <c r="F107" s="7">
        <f t="shared" si="6"/>
        <v>432</v>
      </c>
      <c r="G107" s="7"/>
      <c r="H107" s="7"/>
      <c r="I107" s="7"/>
      <c r="J107" s="7"/>
      <c r="K107" s="7">
        <f>F107</f>
        <v>432</v>
      </c>
      <c r="L107" s="7"/>
      <c r="M107" s="8"/>
      <c r="N107" s="9"/>
    </row>
    <row r="108" spans="1:14" x14ac:dyDescent="0.25">
      <c r="A108" s="13"/>
      <c r="B108" s="12" t="s">
        <v>48</v>
      </c>
      <c r="C108" s="7">
        <v>2</v>
      </c>
      <c r="D108" s="7">
        <v>22</v>
      </c>
      <c r="E108" s="7">
        <v>1.78</v>
      </c>
      <c r="F108" s="7">
        <f t="shared" si="6"/>
        <v>78.320000000000007</v>
      </c>
      <c r="G108" s="7">
        <f>F108</f>
        <v>78.320000000000007</v>
      </c>
      <c r="H108" s="7"/>
      <c r="I108" s="7"/>
      <c r="J108" s="7"/>
      <c r="K108" s="7"/>
      <c r="L108" s="7"/>
      <c r="M108" s="8"/>
      <c r="N108" s="9"/>
    </row>
    <row r="109" spans="1:14" x14ac:dyDescent="0.25">
      <c r="A109" s="13"/>
      <c r="B109" s="12" t="s">
        <v>48</v>
      </c>
      <c r="C109" s="7">
        <v>2</v>
      </c>
      <c r="D109" s="7">
        <v>44</v>
      </c>
      <c r="E109" s="7">
        <v>1.04</v>
      </c>
      <c r="F109" s="7">
        <f t="shared" si="6"/>
        <v>91.52000000000001</v>
      </c>
      <c r="G109" s="7">
        <f>F109</f>
        <v>91.52000000000001</v>
      </c>
      <c r="H109" s="7"/>
      <c r="I109" s="7"/>
      <c r="J109" s="7"/>
      <c r="K109" s="7"/>
      <c r="L109" s="7"/>
      <c r="M109" s="8"/>
      <c r="N109" s="9"/>
    </row>
    <row r="110" spans="1:14" x14ac:dyDescent="0.25">
      <c r="A110" s="13">
        <v>13</v>
      </c>
      <c r="B110" s="25" t="s">
        <v>57</v>
      </c>
      <c r="C110" s="7">
        <v>3</v>
      </c>
      <c r="D110" s="7">
        <v>10</v>
      </c>
      <c r="E110" s="7">
        <v>6</v>
      </c>
      <c r="F110" s="7">
        <f t="shared" si="6"/>
        <v>180</v>
      </c>
      <c r="G110" s="7"/>
      <c r="H110" s="7"/>
      <c r="I110" s="7">
        <f>F110</f>
        <v>180</v>
      </c>
      <c r="J110" s="7"/>
      <c r="K110" s="7"/>
      <c r="L110" s="7"/>
      <c r="M110" s="8"/>
      <c r="N110" s="9"/>
    </row>
    <row r="111" spans="1:14" x14ac:dyDescent="0.25">
      <c r="A111" s="13"/>
      <c r="B111" s="12" t="s">
        <v>48</v>
      </c>
      <c r="C111" s="7">
        <v>3</v>
      </c>
      <c r="D111" s="7">
        <v>22</v>
      </c>
      <c r="E111" s="7">
        <v>1.78</v>
      </c>
      <c r="F111" s="7">
        <f t="shared" si="6"/>
        <v>117.48</v>
      </c>
      <c r="G111" s="7">
        <f>F111</f>
        <v>117.48</v>
      </c>
      <c r="H111" s="7"/>
      <c r="I111" s="7"/>
      <c r="J111" s="7"/>
      <c r="K111" s="7"/>
      <c r="L111" s="7"/>
      <c r="M111" s="8"/>
      <c r="N111" s="9"/>
    </row>
    <row r="112" spans="1:14" x14ac:dyDescent="0.25">
      <c r="A112" s="13"/>
      <c r="B112" s="12" t="s">
        <v>48</v>
      </c>
      <c r="C112" s="7">
        <v>3</v>
      </c>
      <c r="D112" s="7">
        <v>44</v>
      </c>
      <c r="E112" s="7">
        <v>1.04</v>
      </c>
      <c r="F112" s="7">
        <f t="shared" si="6"/>
        <v>137.28</v>
      </c>
      <c r="G112" s="7">
        <f>F112</f>
        <v>137.28</v>
      </c>
      <c r="H112" s="7"/>
      <c r="I112" s="7"/>
      <c r="J112" s="7"/>
      <c r="K112" s="7"/>
      <c r="L112" s="7"/>
      <c r="M112" s="8"/>
      <c r="N112" s="9"/>
    </row>
    <row r="113" spans="1:14" x14ac:dyDescent="0.25">
      <c r="A113" s="13">
        <v>14</v>
      </c>
      <c r="B113" s="25" t="s">
        <v>58</v>
      </c>
      <c r="C113" s="7">
        <v>1</v>
      </c>
      <c r="D113" s="7">
        <v>80</v>
      </c>
      <c r="E113" s="7">
        <v>6</v>
      </c>
      <c r="F113" s="7">
        <f t="shared" si="6"/>
        <v>480</v>
      </c>
      <c r="G113" s="7"/>
      <c r="H113" s="7"/>
      <c r="I113" s="7"/>
      <c r="J113" s="7">
        <f>F113</f>
        <v>480</v>
      </c>
      <c r="K113" s="7"/>
      <c r="L113" s="7"/>
      <c r="M113" s="8"/>
      <c r="N113" s="9"/>
    </row>
    <row r="114" spans="1:14" x14ac:dyDescent="0.25">
      <c r="A114" s="13"/>
      <c r="B114" s="12" t="s">
        <v>48</v>
      </c>
      <c r="C114" s="7">
        <v>1</v>
      </c>
      <c r="D114" s="7">
        <v>22</v>
      </c>
      <c r="E114" s="7">
        <v>8.1</v>
      </c>
      <c r="F114" s="7">
        <f t="shared" si="6"/>
        <v>178.2</v>
      </c>
      <c r="G114" s="7">
        <f>F114</f>
        <v>178.2</v>
      </c>
      <c r="H114" s="7"/>
      <c r="I114" s="7"/>
      <c r="J114" s="7"/>
      <c r="K114" s="7"/>
      <c r="L114" s="7"/>
      <c r="M114" s="8"/>
      <c r="N114" s="9"/>
    </row>
    <row r="115" spans="1:14" x14ac:dyDescent="0.25">
      <c r="A115" s="13"/>
      <c r="B115" s="12" t="s">
        <v>48</v>
      </c>
      <c r="C115" s="7">
        <v>1</v>
      </c>
      <c r="D115" s="7">
        <v>198</v>
      </c>
      <c r="E115" s="7">
        <v>1.5</v>
      </c>
      <c r="F115" s="7">
        <f t="shared" si="6"/>
        <v>297</v>
      </c>
      <c r="G115" s="7">
        <f>F115</f>
        <v>297</v>
      </c>
      <c r="H115" s="7"/>
      <c r="I115" s="7"/>
      <c r="J115" s="7"/>
      <c r="K115" s="7"/>
      <c r="L115" s="7"/>
      <c r="M115" s="8"/>
      <c r="N115" s="9"/>
    </row>
    <row r="116" spans="1:14" x14ac:dyDescent="0.25">
      <c r="A116" s="9"/>
      <c r="B116" s="9"/>
      <c r="C116" s="9"/>
      <c r="D116" s="9"/>
      <c r="E116" s="9"/>
      <c r="F116" s="9"/>
      <c r="G116" s="19">
        <f>SUM(G71:G115)</f>
        <v>5790.84</v>
      </c>
      <c r="H116" s="19">
        <f>SUM(H71:H99)</f>
        <v>0</v>
      </c>
      <c r="I116" s="19">
        <f>SUM(I71:I115)</f>
        <v>180</v>
      </c>
      <c r="J116" s="19">
        <f>SUM(J71:J115)</f>
        <v>1128</v>
      </c>
      <c r="K116" s="19">
        <f>SUM(K71:K115)</f>
        <v>2352</v>
      </c>
      <c r="L116" s="19">
        <f>SUM(L71:L115)</f>
        <v>1008</v>
      </c>
      <c r="M116" s="18"/>
      <c r="N116" s="9"/>
    </row>
    <row r="117" spans="1:14" x14ac:dyDescent="0.25">
      <c r="A117" s="9"/>
      <c r="B117" s="9"/>
      <c r="C117" s="9"/>
      <c r="D117" s="9"/>
      <c r="E117" s="9"/>
      <c r="F117" s="9"/>
      <c r="G117" s="19">
        <v>0.39500000000000002</v>
      </c>
      <c r="H117" s="19">
        <v>0.88880000000000003</v>
      </c>
      <c r="I117" s="19">
        <v>1.58</v>
      </c>
      <c r="J117" s="19">
        <v>2.4689999999999999</v>
      </c>
      <c r="K117" s="19">
        <v>3.85</v>
      </c>
      <c r="L117" s="19">
        <v>6.32</v>
      </c>
      <c r="M117" s="18"/>
      <c r="N117" s="9"/>
    </row>
    <row r="118" spans="1:14" x14ac:dyDescent="0.25">
      <c r="A118" s="9"/>
      <c r="B118" s="9"/>
      <c r="C118" s="9"/>
      <c r="D118" s="9"/>
      <c r="E118" s="9"/>
      <c r="F118" s="23">
        <v>0.05</v>
      </c>
      <c r="G118" s="21">
        <f>G117*G116</f>
        <v>2287.3818000000001</v>
      </c>
      <c r="H118" s="19">
        <f>H116*H117</f>
        <v>0</v>
      </c>
      <c r="I118" s="19">
        <f>I116*I117</f>
        <v>284.40000000000003</v>
      </c>
      <c r="J118" s="11">
        <f>J116*J117</f>
        <v>2785.0319999999997</v>
      </c>
      <c r="K118" s="19">
        <f>K116*K117</f>
        <v>9055.2000000000007</v>
      </c>
      <c r="L118" s="19">
        <f>L117*L116</f>
        <v>6370.56</v>
      </c>
      <c r="M118" s="18"/>
      <c r="N118" s="9"/>
    </row>
    <row r="119" spans="1:14" x14ac:dyDescent="0.25">
      <c r="F119" s="1"/>
      <c r="G119" s="17">
        <f>F118*G118</f>
        <v>114.36909000000001</v>
      </c>
      <c r="H119" s="16">
        <f>F118*H118</f>
        <v>0</v>
      </c>
      <c r="I119" s="16">
        <f>F118*I118</f>
        <v>14.220000000000002</v>
      </c>
      <c r="J119" s="26">
        <f>F118*J118</f>
        <v>139.2516</v>
      </c>
      <c r="K119" s="16">
        <f>K118*F118</f>
        <v>452.76000000000005</v>
      </c>
      <c r="L119" s="17">
        <f>F118*L118</f>
        <v>318.52800000000002</v>
      </c>
      <c r="M119" s="27"/>
    </row>
    <row r="120" spans="1:14" ht="15.75" x14ac:dyDescent="0.25">
      <c r="F120" s="1"/>
      <c r="G120" s="28">
        <f t="shared" ref="G120:L120" si="7">SUM(G118:G119)</f>
        <v>2401.7508900000003</v>
      </c>
      <c r="H120" s="29">
        <f t="shared" si="7"/>
        <v>0</v>
      </c>
      <c r="I120" s="29">
        <f t="shared" si="7"/>
        <v>298.62000000000006</v>
      </c>
      <c r="J120" s="30">
        <f t="shared" si="7"/>
        <v>2924.2835999999998</v>
      </c>
      <c r="K120" s="29">
        <f t="shared" si="7"/>
        <v>9507.9600000000009</v>
      </c>
      <c r="L120" s="29">
        <f t="shared" si="7"/>
        <v>6689.0880000000006</v>
      </c>
      <c r="M120" s="28">
        <f>G120+H120+I120+J120+K120+L120</f>
        <v>21821.70249</v>
      </c>
    </row>
    <row r="121" spans="1:14" x14ac:dyDescent="0.25">
      <c r="G121" s="27"/>
      <c r="H121" s="27"/>
      <c r="I121" s="27"/>
      <c r="J121" s="27"/>
      <c r="K121" s="27"/>
      <c r="L121" s="27"/>
      <c r="M121" s="27"/>
    </row>
    <row r="137" spans="1:14" x14ac:dyDescent="0.25">
      <c r="A137" s="49" t="s">
        <v>60</v>
      </c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</row>
    <row r="138" spans="1:14" x14ac:dyDescent="0.25">
      <c r="A138" s="5" t="s">
        <v>0</v>
      </c>
      <c r="B138" s="5" t="s">
        <v>1</v>
      </c>
      <c r="C138" s="5" t="s">
        <v>4</v>
      </c>
      <c r="D138" s="5" t="s">
        <v>12</v>
      </c>
      <c r="E138" s="5" t="s">
        <v>2</v>
      </c>
      <c r="F138" s="5" t="s">
        <v>3</v>
      </c>
      <c r="G138" s="5" t="s">
        <v>5</v>
      </c>
      <c r="H138" s="5" t="s">
        <v>61</v>
      </c>
      <c r="I138" s="5" t="s">
        <v>7</v>
      </c>
      <c r="J138" s="5" t="s">
        <v>8</v>
      </c>
      <c r="K138" s="5" t="s">
        <v>9</v>
      </c>
      <c r="L138" s="5" t="s">
        <v>10</v>
      </c>
      <c r="M138" s="5" t="s">
        <v>13</v>
      </c>
      <c r="N138" s="6"/>
    </row>
    <row r="139" spans="1:14" x14ac:dyDescent="0.25">
      <c r="A139" s="13"/>
      <c r="B139" s="25" t="s">
        <v>34</v>
      </c>
      <c r="C139" s="7">
        <v>1</v>
      </c>
      <c r="D139" s="7">
        <v>200</v>
      </c>
      <c r="E139" s="7">
        <v>5</v>
      </c>
      <c r="F139" s="7">
        <f t="shared" ref="F139:F149" si="8">C139*D139*E139</f>
        <v>1000</v>
      </c>
      <c r="G139" s="7"/>
      <c r="H139" s="7">
        <f>F139</f>
        <v>1000</v>
      </c>
      <c r="I139" s="7"/>
      <c r="J139" s="7"/>
      <c r="K139" s="7"/>
      <c r="L139" s="7"/>
      <c r="M139" s="8" t="s">
        <v>62</v>
      </c>
      <c r="N139" s="9"/>
    </row>
    <row r="140" spans="1:14" x14ac:dyDescent="0.25">
      <c r="A140" s="13"/>
      <c r="B140" s="12"/>
      <c r="C140" s="7">
        <v>1</v>
      </c>
      <c r="D140" s="7">
        <v>35</v>
      </c>
      <c r="E140" s="7">
        <v>20</v>
      </c>
      <c r="F140" s="7">
        <f t="shared" si="8"/>
        <v>700</v>
      </c>
      <c r="G140" s="7">
        <f>F140</f>
        <v>700</v>
      </c>
      <c r="H140" s="7"/>
      <c r="I140" s="7"/>
      <c r="J140" s="7"/>
      <c r="K140" s="7"/>
      <c r="L140" s="7"/>
      <c r="M140" s="8" t="s">
        <v>63</v>
      </c>
      <c r="N140" s="9"/>
    </row>
    <row r="141" spans="1:14" x14ac:dyDescent="0.25">
      <c r="A141" s="13"/>
      <c r="B141" s="12" t="s">
        <v>37</v>
      </c>
      <c r="C141" s="7">
        <v>1</v>
      </c>
      <c r="D141" s="7">
        <v>200</v>
      </c>
      <c r="E141" s="7">
        <v>5</v>
      </c>
      <c r="F141" s="7">
        <f t="shared" si="8"/>
        <v>1000</v>
      </c>
      <c r="G141" s="7"/>
      <c r="H141" s="7">
        <f>F141</f>
        <v>1000</v>
      </c>
      <c r="I141" s="7"/>
      <c r="J141" s="7"/>
      <c r="K141" s="7"/>
      <c r="L141" s="7"/>
      <c r="M141" s="8" t="s">
        <v>62</v>
      </c>
      <c r="N141" s="9"/>
    </row>
    <row r="142" spans="1:14" x14ac:dyDescent="0.25">
      <c r="A142" s="13"/>
      <c r="B142" s="12"/>
      <c r="C142" s="7">
        <v>1</v>
      </c>
      <c r="D142" s="7">
        <v>35</v>
      </c>
      <c r="E142" s="7">
        <v>20</v>
      </c>
      <c r="F142" s="7">
        <f t="shared" si="8"/>
        <v>700</v>
      </c>
      <c r="G142" s="7">
        <f>F142</f>
        <v>700</v>
      </c>
      <c r="H142" s="7"/>
      <c r="I142" s="7"/>
      <c r="J142" s="7"/>
      <c r="K142" s="7"/>
      <c r="L142" s="7"/>
      <c r="M142" s="8" t="s">
        <v>63</v>
      </c>
      <c r="N142" s="9"/>
    </row>
    <row r="143" spans="1:14" x14ac:dyDescent="0.25">
      <c r="A143" s="13"/>
      <c r="B143" s="25" t="s">
        <v>38</v>
      </c>
      <c r="C143" s="7">
        <v>1</v>
      </c>
      <c r="D143" s="7">
        <v>160</v>
      </c>
      <c r="E143" s="7">
        <v>3</v>
      </c>
      <c r="F143" s="7">
        <f t="shared" si="8"/>
        <v>480</v>
      </c>
      <c r="G143" s="7"/>
      <c r="H143" s="7">
        <f>F143</f>
        <v>480</v>
      </c>
      <c r="I143" s="7"/>
      <c r="J143" s="7"/>
      <c r="K143" s="7"/>
      <c r="L143" s="7"/>
      <c r="M143" s="8"/>
      <c r="N143" s="9"/>
    </row>
    <row r="144" spans="1:14" x14ac:dyDescent="0.25">
      <c r="A144" s="13"/>
      <c r="B144" s="12"/>
      <c r="C144" s="7">
        <v>1</v>
      </c>
      <c r="D144" s="7">
        <v>22</v>
      </c>
      <c r="E144" s="7">
        <v>16.2</v>
      </c>
      <c r="F144" s="7">
        <f t="shared" si="8"/>
        <v>356.4</v>
      </c>
      <c r="G144" s="7">
        <f>F144</f>
        <v>356.4</v>
      </c>
      <c r="H144" s="7"/>
      <c r="I144" s="7"/>
      <c r="J144" s="7"/>
      <c r="K144" s="7"/>
      <c r="L144" s="7"/>
      <c r="M144" s="8"/>
      <c r="N144" s="9"/>
    </row>
    <row r="145" spans="1:14" x14ac:dyDescent="0.25">
      <c r="A145" s="13"/>
      <c r="B145" s="12" t="s">
        <v>41</v>
      </c>
      <c r="C145" s="7">
        <v>1</v>
      </c>
      <c r="D145" s="7">
        <v>180</v>
      </c>
      <c r="E145" s="7">
        <v>4</v>
      </c>
      <c r="F145" s="7">
        <f t="shared" si="8"/>
        <v>720</v>
      </c>
      <c r="G145" s="7"/>
      <c r="H145" s="7">
        <f>F145</f>
        <v>720</v>
      </c>
      <c r="I145" s="7"/>
      <c r="J145" s="7"/>
      <c r="K145" s="7"/>
      <c r="L145" s="7"/>
      <c r="M145" s="8"/>
      <c r="N145" s="9"/>
    </row>
    <row r="146" spans="1:14" x14ac:dyDescent="0.25">
      <c r="A146" s="13"/>
      <c r="B146" s="12"/>
      <c r="C146" s="7">
        <v>1</v>
      </c>
      <c r="D146" s="7">
        <v>30</v>
      </c>
      <c r="E146" s="7">
        <v>19</v>
      </c>
      <c r="F146" s="7">
        <f t="shared" si="8"/>
        <v>570</v>
      </c>
      <c r="G146" s="7">
        <f>F146</f>
        <v>570</v>
      </c>
      <c r="H146" s="7"/>
      <c r="I146" s="7"/>
      <c r="J146" s="7"/>
      <c r="K146" s="7"/>
      <c r="L146" s="7"/>
      <c r="M146" s="8"/>
      <c r="N146" s="9"/>
    </row>
    <row r="147" spans="1:14" x14ac:dyDescent="0.25">
      <c r="A147" s="13"/>
      <c r="B147" s="25" t="s">
        <v>42</v>
      </c>
      <c r="C147" s="7">
        <v>1</v>
      </c>
      <c r="D147" s="7">
        <v>160</v>
      </c>
      <c r="E147" s="7">
        <v>3</v>
      </c>
      <c r="F147" s="7">
        <f t="shared" si="8"/>
        <v>480</v>
      </c>
      <c r="G147" s="7"/>
      <c r="H147" s="7">
        <f>F147</f>
        <v>480</v>
      </c>
      <c r="I147" s="7"/>
      <c r="J147" s="7"/>
      <c r="K147" s="7"/>
      <c r="L147" s="7"/>
      <c r="M147" s="8"/>
      <c r="N147" s="9"/>
    </row>
    <row r="148" spans="1:14" x14ac:dyDescent="0.25">
      <c r="A148" s="13"/>
      <c r="B148" s="12"/>
      <c r="C148" s="7">
        <v>1</v>
      </c>
      <c r="D148" s="7">
        <v>22</v>
      </c>
      <c r="E148" s="7">
        <v>16.2</v>
      </c>
      <c r="F148" s="7">
        <f t="shared" si="8"/>
        <v>356.4</v>
      </c>
      <c r="G148" s="7">
        <f>F148</f>
        <v>356.4</v>
      </c>
      <c r="H148" s="7"/>
      <c r="I148" s="7"/>
      <c r="J148" s="7"/>
      <c r="K148" s="7"/>
      <c r="L148" s="7"/>
      <c r="M148" s="8"/>
      <c r="N148" s="9"/>
    </row>
    <row r="149" spans="1:14" x14ac:dyDescent="0.25">
      <c r="A149" s="13"/>
      <c r="B149" s="12" t="s">
        <v>64</v>
      </c>
      <c r="C149" s="7">
        <v>5</v>
      </c>
      <c r="D149" s="7">
        <v>10</v>
      </c>
      <c r="E149" s="7">
        <v>4.5</v>
      </c>
      <c r="F149" s="7">
        <f t="shared" si="8"/>
        <v>225</v>
      </c>
      <c r="G149" s="7"/>
      <c r="H149" s="7"/>
      <c r="I149" s="7">
        <f>F149</f>
        <v>225</v>
      </c>
      <c r="J149" s="7"/>
      <c r="K149" s="7"/>
      <c r="L149" s="7"/>
      <c r="M149" s="8"/>
      <c r="N149" s="9"/>
    </row>
    <row r="150" spans="1:14" x14ac:dyDescent="0.25">
      <c r="A150" s="9"/>
      <c r="B150" s="9"/>
      <c r="C150" s="9"/>
      <c r="D150" s="9"/>
      <c r="E150" s="9"/>
      <c r="F150" s="9"/>
      <c r="G150" s="22">
        <f t="shared" ref="G150:L150" si="9">SUM(G139:G149)</f>
        <v>2682.8</v>
      </c>
      <c r="H150" s="22">
        <f t="shared" si="9"/>
        <v>3680</v>
      </c>
      <c r="I150" s="22">
        <f t="shared" si="9"/>
        <v>225</v>
      </c>
      <c r="J150" s="22">
        <f t="shared" si="9"/>
        <v>0</v>
      </c>
      <c r="K150" s="22">
        <f t="shared" si="9"/>
        <v>0</v>
      </c>
      <c r="L150" s="22">
        <f t="shared" si="9"/>
        <v>0</v>
      </c>
      <c r="M150" s="22"/>
      <c r="N150" s="9"/>
    </row>
    <row r="151" spans="1:14" x14ac:dyDescent="0.25">
      <c r="A151" s="9"/>
      <c r="B151" s="9"/>
      <c r="C151" s="9"/>
      <c r="D151" s="9"/>
      <c r="E151" s="9"/>
      <c r="F151" s="9"/>
      <c r="G151" s="22">
        <v>0.39500000000000002</v>
      </c>
      <c r="H151" s="22">
        <v>0.88880000000000003</v>
      </c>
      <c r="I151" s="22">
        <v>1.58</v>
      </c>
      <c r="J151" s="22">
        <v>2.4689999999999999</v>
      </c>
      <c r="K151" s="22">
        <v>3.85</v>
      </c>
      <c r="L151" s="22">
        <v>6.32</v>
      </c>
      <c r="M151" s="22"/>
      <c r="N151" s="9"/>
    </row>
    <row r="152" spans="1:14" x14ac:dyDescent="0.25">
      <c r="A152" s="9"/>
      <c r="B152" s="9"/>
      <c r="C152" s="9"/>
      <c r="D152" s="9"/>
      <c r="E152" s="9"/>
      <c r="F152" s="23">
        <v>0.05</v>
      </c>
      <c r="G152" s="21">
        <f>G151*G150</f>
        <v>1059.7060000000001</v>
      </c>
      <c r="H152" s="22">
        <f>H150*H151</f>
        <v>3270.7840000000001</v>
      </c>
      <c r="I152" s="22">
        <f>I150*I151</f>
        <v>355.5</v>
      </c>
      <c r="J152" s="11">
        <f>J150*J151</f>
        <v>0</v>
      </c>
      <c r="K152" s="22">
        <f>K150*K151</f>
        <v>0</v>
      </c>
      <c r="L152" s="22">
        <f>L151*L150</f>
        <v>0</v>
      </c>
      <c r="M152" s="22"/>
      <c r="N152" s="9"/>
    </row>
    <row r="153" spans="1:14" x14ac:dyDescent="0.25">
      <c r="F153" s="1"/>
      <c r="G153" s="17">
        <f>F152*G152</f>
        <v>52.985300000000009</v>
      </c>
      <c r="H153" s="16">
        <f>F152*H152</f>
        <v>163.53920000000002</v>
      </c>
      <c r="I153" s="16">
        <f>F152*I152</f>
        <v>17.775000000000002</v>
      </c>
      <c r="J153" s="26">
        <f>F152*J152</f>
        <v>0</v>
      </c>
      <c r="K153" s="16">
        <f>K152*F152</f>
        <v>0</v>
      </c>
      <c r="L153" s="17">
        <f>F152*L152</f>
        <v>0</v>
      </c>
      <c r="M153" s="27"/>
    </row>
    <row r="154" spans="1:14" ht="15.75" x14ac:dyDescent="0.25">
      <c r="F154" s="1"/>
      <c r="G154" s="30">
        <f t="shared" ref="G154" si="10">SUM(G152:G153)</f>
        <v>1112.6913000000002</v>
      </c>
      <c r="H154" s="30">
        <f t="shared" ref="H154" si="11">SUM(H152:H153)</f>
        <v>3434.3232000000003</v>
      </c>
      <c r="I154" s="30">
        <f t="shared" ref="I154" si="12">SUM(I152:I153)</f>
        <v>373.27499999999998</v>
      </c>
      <c r="J154" s="30">
        <f t="shared" ref="J154" si="13">SUM(J152:J153)</f>
        <v>0</v>
      </c>
      <c r="K154" s="29">
        <f t="shared" ref="K154" si="14">SUM(K152:K153)</f>
        <v>0</v>
      </c>
      <c r="L154" s="29">
        <f t="shared" ref="L154" si="15">SUM(L152:L153)</f>
        <v>0</v>
      </c>
      <c r="M154" s="28">
        <f>G154+H154+I154+J154+K154+L154</f>
        <v>4920.2894999999999</v>
      </c>
    </row>
    <row r="156" spans="1:14" x14ac:dyDescent="0.25">
      <c r="A156" s="49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 spans="1:14" x14ac:dyDescent="0.25">
      <c r="A157" s="5" t="s">
        <v>0</v>
      </c>
      <c r="B157" s="5" t="s">
        <v>1</v>
      </c>
      <c r="C157" s="5" t="s">
        <v>4</v>
      </c>
      <c r="D157" s="5" t="s">
        <v>12</v>
      </c>
      <c r="E157" s="5" t="s">
        <v>2</v>
      </c>
      <c r="F157" s="5" t="s">
        <v>3</v>
      </c>
      <c r="G157" s="5" t="s">
        <v>5</v>
      </c>
      <c r="H157" s="5" t="s">
        <v>61</v>
      </c>
      <c r="I157" s="5" t="s">
        <v>6</v>
      </c>
      <c r="J157" s="5" t="s">
        <v>8</v>
      </c>
      <c r="K157" s="5" t="s">
        <v>9</v>
      </c>
      <c r="L157" s="5" t="s">
        <v>10</v>
      </c>
      <c r="M157" s="5" t="s">
        <v>13</v>
      </c>
      <c r="N157" s="6"/>
    </row>
    <row r="158" spans="1:14" x14ac:dyDescent="0.25">
      <c r="A158" s="5"/>
      <c r="B158" s="7" t="s">
        <v>77</v>
      </c>
      <c r="C158" s="5">
        <v>1</v>
      </c>
      <c r="D158" s="5">
        <v>1600</v>
      </c>
      <c r="E158" s="5">
        <v>1.8</v>
      </c>
      <c r="F158" s="5">
        <f>C158*D158*E158</f>
        <v>2880</v>
      </c>
      <c r="G158" s="5"/>
      <c r="H158" s="5">
        <f>F158</f>
        <v>2880</v>
      </c>
      <c r="I158" s="5"/>
      <c r="J158" s="5"/>
      <c r="K158" s="5"/>
      <c r="L158" s="5"/>
      <c r="M158" s="5"/>
      <c r="N158" s="32"/>
    </row>
    <row r="159" spans="1:14" x14ac:dyDescent="0.25">
      <c r="A159" s="5"/>
      <c r="B159" s="7"/>
      <c r="C159" s="5">
        <v>1</v>
      </c>
      <c r="D159" s="5">
        <v>7</v>
      </c>
      <c r="E159" s="5">
        <v>791</v>
      </c>
      <c r="F159" s="5">
        <f>C159*D159*E159</f>
        <v>5537</v>
      </c>
      <c r="G159" s="5">
        <f>F159</f>
        <v>5537</v>
      </c>
      <c r="H159" s="5"/>
      <c r="I159" s="5"/>
      <c r="J159" s="5"/>
      <c r="K159" s="5"/>
      <c r="L159" s="5"/>
      <c r="M159" s="5"/>
      <c r="N159" s="32"/>
    </row>
    <row r="160" spans="1:14" x14ac:dyDescent="0.25">
      <c r="A160" s="13"/>
      <c r="B160" s="25" t="s">
        <v>63</v>
      </c>
      <c r="C160" s="7">
        <v>1</v>
      </c>
      <c r="D160" s="7">
        <v>3150</v>
      </c>
      <c r="E160" s="7">
        <v>5</v>
      </c>
      <c r="F160" s="7">
        <f t="shared" ref="F160:F165" si="16">C160*D160*E160</f>
        <v>15750</v>
      </c>
      <c r="G160" s="7"/>
      <c r="H160" s="7"/>
      <c r="I160" s="7">
        <f>F160</f>
        <v>15750</v>
      </c>
      <c r="J160" s="7"/>
      <c r="K160" s="7"/>
      <c r="L160" s="7"/>
      <c r="M160" s="8" t="s">
        <v>67</v>
      </c>
      <c r="N160" s="9"/>
    </row>
    <row r="161" spans="1:14" x14ac:dyDescent="0.25">
      <c r="A161" s="13"/>
      <c r="B161" s="12" t="s">
        <v>66</v>
      </c>
      <c r="C161" s="7">
        <v>1</v>
      </c>
      <c r="D161" s="7">
        <v>50</v>
      </c>
      <c r="E161" s="7">
        <v>236</v>
      </c>
      <c r="F161" s="7">
        <f t="shared" si="16"/>
        <v>11800</v>
      </c>
      <c r="G161" s="7">
        <f>F161</f>
        <v>11800</v>
      </c>
      <c r="H161" s="7"/>
      <c r="I161" s="7"/>
      <c r="J161" s="7"/>
      <c r="K161" s="7"/>
      <c r="L161" s="7"/>
      <c r="M161" s="8" t="s">
        <v>67</v>
      </c>
      <c r="N161" s="9"/>
    </row>
    <row r="162" spans="1:14" x14ac:dyDescent="0.25">
      <c r="A162" s="13"/>
      <c r="B162" s="25" t="s">
        <v>63</v>
      </c>
      <c r="C162" s="7">
        <v>1</v>
      </c>
      <c r="D162" s="7">
        <v>3150</v>
      </c>
      <c r="E162" s="7">
        <v>5</v>
      </c>
      <c r="F162" s="7">
        <f t="shared" si="16"/>
        <v>15750</v>
      </c>
      <c r="G162" s="7">
        <f>F162</f>
        <v>15750</v>
      </c>
      <c r="H162" s="7"/>
      <c r="I162" s="7"/>
      <c r="J162" s="7"/>
      <c r="K162" s="7"/>
      <c r="L162" s="7"/>
      <c r="M162" s="8" t="s">
        <v>68</v>
      </c>
      <c r="N162" s="9"/>
    </row>
    <row r="163" spans="1:14" x14ac:dyDescent="0.25">
      <c r="A163" s="13"/>
      <c r="B163" s="12" t="s">
        <v>66</v>
      </c>
      <c r="C163" s="7">
        <v>1</v>
      </c>
      <c r="D163" s="7">
        <v>50</v>
      </c>
      <c r="E163" s="7">
        <v>236</v>
      </c>
      <c r="F163" s="7">
        <f t="shared" si="16"/>
        <v>11800</v>
      </c>
      <c r="G163" s="7"/>
      <c r="H163" s="7">
        <f>F163</f>
        <v>11800</v>
      </c>
      <c r="I163" s="7"/>
      <c r="J163" s="7"/>
      <c r="K163" s="7"/>
      <c r="L163" s="7"/>
      <c r="M163" s="8" t="s">
        <v>68</v>
      </c>
      <c r="N163" s="9"/>
    </row>
    <row r="164" spans="1:14" x14ac:dyDescent="0.25">
      <c r="A164" s="13"/>
      <c r="B164" s="25" t="s">
        <v>69</v>
      </c>
      <c r="C164" s="7">
        <v>1</v>
      </c>
      <c r="D164" s="7">
        <v>1000</v>
      </c>
      <c r="E164" s="7">
        <v>1.2</v>
      </c>
      <c r="F164" s="7">
        <f t="shared" si="16"/>
        <v>1200</v>
      </c>
      <c r="G164" s="7"/>
      <c r="H164" s="7">
        <f>F164</f>
        <v>1200</v>
      </c>
      <c r="I164" s="7"/>
      <c r="J164" s="7"/>
      <c r="K164" s="7"/>
      <c r="L164" s="7"/>
      <c r="M164" s="8"/>
      <c r="N164" s="9"/>
    </row>
    <row r="165" spans="1:14" x14ac:dyDescent="0.25">
      <c r="A165" s="13"/>
      <c r="B165" s="12" t="s">
        <v>70</v>
      </c>
      <c r="C165" s="7">
        <v>1</v>
      </c>
      <c r="D165" s="7">
        <v>100</v>
      </c>
      <c r="E165" s="7">
        <v>0.88</v>
      </c>
      <c r="F165" s="7">
        <f t="shared" si="16"/>
        <v>88</v>
      </c>
      <c r="G165" s="7"/>
      <c r="H165" s="7"/>
      <c r="I165" s="7">
        <f>F165</f>
        <v>88</v>
      </c>
      <c r="J165" s="7"/>
      <c r="K165" s="7"/>
      <c r="L165" s="7"/>
      <c r="M165" s="8"/>
      <c r="N165" s="9"/>
    </row>
    <row r="166" spans="1:14" x14ac:dyDescent="0.25">
      <c r="A166" s="9"/>
      <c r="B166" s="9"/>
      <c r="C166" s="9"/>
      <c r="D166" s="9"/>
      <c r="E166" s="9"/>
      <c r="F166" s="9"/>
      <c r="G166" s="24">
        <f>SUM(G158:G165)</f>
        <v>33087</v>
      </c>
      <c r="H166" s="24">
        <f>SUM(H158:H165)</f>
        <v>15880</v>
      </c>
      <c r="I166" s="24">
        <f t="shared" ref="I166:L166" si="17">SUM(I160:I165)</f>
        <v>15838</v>
      </c>
      <c r="J166" s="24">
        <f t="shared" si="17"/>
        <v>0</v>
      </c>
      <c r="K166" s="24">
        <f t="shared" si="17"/>
        <v>0</v>
      </c>
      <c r="L166" s="24">
        <f t="shared" si="17"/>
        <v>0</v>
      </c>
      <c r="M166" s="24"/>
      <c r="N166" s="9"/>
    </row>
    <row r="167" spans="1:14" x14ac:dyDescent="0.25">
      <c r="A167" s="9"/>
      <c r="B167" s="9"/>
      <c r="C167" s="9"/>
      <c r="D167" s="9"/>
      <c r="E167" s="9"/>
      <c r="F167" s="9"/>
      <c r="G167" s="24">
        <v>0.39500000000000002</v>
      </c>
      <c r="H167" s="24">
        <v>0.88880000000000003</v>
      </c>
      <c r="I167" s="24">
        <v>1.58</v>
      </c>
      <c r="J167" s="24">
        <v>2.4689999999999999</v>
      </c>
      <c r="K167" s="24">
        <v>3.85</v>
      </c>
      <c r="L167" s="24">
        <v>6.32</v>
      </c>
      <c r="M167" s="24"/>
      <c r="N167" s="9"/>
    </row>
    <row r="168" spans="1:14" x14ac:dyDescent="0.25">
      <c r="A168" s="9"/>
      <c r="B168" s="9"/>
      <c r="C168" s="9"/>
      <c r="D168" s="9"/>
      <c r="E168" s="9"/>
      <c r="F168" s="23">
        <v>0.05</v>
      </c>
      <c r="G168" s="21">
        <f>G167*G166</f>
        <v>13069.365</v>
      </c>
      <c r="H168" s="24">
        <f>H166*H167</f>
        <v>14114.144</v>
      </c>
      <c r="I168" s="24">
        <f>I166*I167</f>
        <v>25024.04</v>
      </c>
      <c r="J168" s="11">
        <f>J166*J167</f>
        <v>0</v>
      </c>
      <c r="K168" s="24">
        <f>K166*K167</f>
        <v>0</v>
      </c>
      <c r="L168" s="24">
        <f>L167*L166</f>
        <v>0</v>
      </c>
      <c r="M168" s="24"/>
      <c r="N168" s="9"/>
    </row>
    <row r="169" spans="1:14" x14ac:dyDescent="0.25">
      <c r="F169" s="1"/>
      <c r="G169" s="17">
        <f>F168*G168</f>
        <v>653.46825000000001</v>
      </c>
      <c r="H169" s="16">
        <f>F168*H168</f>
        <v>705.70720000000006</v>
      </c>
      <c r="I169" s="16">
        <f>F168*I168</f>
        <v>1251.2020000000002</v>
      </c>
      <c r="J169" s="26">
        <f>F168*J168</f>
        <v>0</v>
      </c>
      <c r="K169" s="16">
        <f>K168*F168</f>
        <v>0</v>
      </c>
      <c r="L169" s="17">
        <f>F168*L168</f>
        <v>0</v>
      </c>
      <c r="M169" s="27"/>
    </row>
    <row r="170" spans="1:14" ht="15.75" x14ac:dyDescent="0.25">
      <c r="F170" s="1"/>
      <c r="G170" s="44">
        <f t="shared" ref="G170:L170" si="18">SUM(G168:G169)</f>
        <v>13722.83325</v>
      </c>
      <c r="H170" s="44">
        <f t="shared" si="18"/>
        <v>14819.851200000001</v>
      </c>
      <c r="I170" s="44">
        <f t="shared" si="18"/>
        <v>26275.242000000002</v>
      </c>
      <c r="J170" s="44">
        <f t="shared" si="18"/>
        <v>0</v>
      </c>
      <c r="K170" s="45">
        <f t="shared" si="18"/>
        <v>0</v>
      </c>
      <c r="L170" s="45">
        <f t="shared" si="18"/>
        <v>0</v>
      </c>
      <c r="M170" s="28">
        <f>G170+H170+I170+J170+K170+L170</f>
        <v>54817.926449999999</v>
      </c>
    </row>
    <row r="173" spans="1:14" x14ac:dyDescent="0.25">
      <c r="A173" s="49" t="s">
        <v>71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 spans="1:14" x14ac:dyDescent="0.25">
      <c r="A174" s="5" t="s">
        <v>0</v>
      </c>
      <c r="B174" s="5" t="s">
        <v>1</v>
      </c>
      <c r="C174" s="5" t="s">
        <v>4</v>
      </c>
      <c r="D174" s="5" t="s">
        <v>12</v>
      </c>
      <c r="E174" s="5" t="s">
        <v>2</v>
      </c>
      <c r="F174" s="5" t="s">
        <v>3</v>
      </c>
      <c r="G174" s="5" t="s">
        <v>5</v>
      </c>
      <c r="H174" s="5" t="s">
        <v>73</v>
      </c>
      <c r="I174" s="5" t="s">
        <v>74</v>
      </c>
      <c r="J174" s="5" t="s">
        <v>8</v>
      </c>
      <c r="K174" s="5" t="s">
        <v>9</v>
      </c>
      <c r="L174" s="5" t="s">
        <v>10</v>
      </c>
      <c r="M174" s="5" t="s">
        <v>13</v>
      </c>
      <c r="N174" s="6"/>
    </row>
    <row r="175" spans="1:14" x14ac:dyDescent="0.25">
      <c r="A175" s="13">
        <v>1</v>
      </c>
      <c r="B175" s="25" t="s">
        <v>72</v>
      </c>
      <c r="C175" s="7">
        <v>4</v>
      </c>
      <c r="D175" s="7">
        <v>5</v>
      </c>
      <c r="E175" s="7">
        <v>75.3</v>
      </c>
      <c r="F175" s="7">
        <f>C175*D175*E175</f>
        <v>1506</v>
      </c>
      <c r="G175" s="7"/>
      <c r="H175" s="7"/>
      <c r="I175" s="7">
        <f t="shared" ref="I175:I180" si="19">F175</f>
        <v>1506</v>
      </c>
      <c r="J175" s="7"/>
      <c r="K175" s="7"/>
      <c r="L175" s="7"/>
      <c r="M175" s="8"/>
      <c r="N175" s="9"/>
    </row>
    <row r="176" spans="1:14" x14ac:dyDescent="0.25">
      <c r="A176" s="13">
        <v>2</v>
      </c>
      <c r="B176" s="12"/>
      <c r="C176" s="7">
        <v>7</v>
      </c>
      <c r="D176" s="7">
        <v>5</v>
      </c>
      <c r="E176" s="7">
        <v>33.21</v>
      </c>
      <c r="F176" s="7">
        <f t="shared" ref="F176:F181" si="20">C176*D176*E176</f>
        <v>1162.3500000000001</v>
      </c>
      <c r="G176" s="7"/>
      <c r="H176" s="7"/>
      <c r="I176" s="7">
        <f t="shared" si="19"/>
        <v>1162.3500000000001</v>
      </c>
      <c r="J176" s="7"/>
      <c r="K176" s="7"/>
      <c r="L176" s="7"/>
      <c r="M176" s="8"/>
      <c r="N176" s="9"/>
    </row>
    <row r="177" spans="1:14" x14ac:dyDescent="0.25">
      <c r="A177" s="13">
        <v>3</v>
      </c>
      <c r="B177" s="25"/>
      <c r="C177" s="7">
        <v>5</v>
      </c>
      <c r="D177" s="7">
        <v>5</v>
      </c>
      <c r="E177" s="7">
        <v>6.54</v>
      </c>
      <c r="F177" s="7">
        <f t="shared" si="20"/>
        <v>163.5</v>
      </c>
      <c r="G177" s="7"/>
      <c r="H177" s="7"/>
      <c r="I177" s="7">
        <f t="shared" si="19"/>
        <v>163.5</v>
      </c>
      <c r="J177" s="7"/>
      <c r="K177" s="7"/>
      <c r="L177" s="7"/>
      <c r="M177" s="8"/>
      <c r="N177" s="9"/>
    </row>
    <row r="178" spans="1:14" x14ac:dyDescent="0.25">
      <c r="A178" s="13">
        <v>4</v>
      </c>
      <c r="B178" s="12"/>
      <c r="C178" s="7">
        <v>1</v>
      </c>
      <c r="D178" s="7">
        <v>5</v>
      </c>
      <c r="E178" s="7">
        <v>29.26</v>
      </c>
      <c r="F178" s="7">
        <f t="shared" si="20"/>
        <v>146.30000000000001</v>
      </c>
      <c r="G178" s="7"/>
      <c r="H178" s="7"/>
      <c r="I178" s="7">
        <f t="shared" si="19"/>
        <v>146.30000000000001</v>
      </c>
      <c r="J178" s="7"/>
      <c r="K178" s="7"/>
      <c r="L178" s="7"/>
      <c r="M178" s="8"/>
      <c r="N178" s="9"/>
    </row>
    <row r="179" spans="1:14" x14ac:dyDescent="0.25">
      <c r="A179" s="13">
        <v>5</v>
      </c>
      <c r="B179" s="25"/>
      <c r="C179" s="7">
        <v>3</v>
      </c>
      <c r="D179" s="7">
        <v>5</v>
      </c>
      <c r="E179" s="7">
        <v>3.96</v>
      </c>
      <c r="F179" s="7">
        <f t="shared" si="20"/>
        <v>59.4</v>
      </c>
      <c r="G179" s="7"/>
      <c r="H179" s="7"/>
      <c r="I179" s="7">
        <f t="shared" si="19"/>
        <v>59.4</v>
      </c>
      <c r="J179" s="7"/>
      <c r="K179" s="7"/>
      <c r="L179" s="7"/>
      <c r="M179" s="8"/>
      <c r="N179" s="9"/>
    </row>
    <row r="180" spans="1:14" x14ac:dyDescent="0.25">
      <c r="A180" s="13">
        <v>6</v>
      </c>
      <c r="B180" s="12"/>
      <c r="C180" s="7">
        <v>1</v>
      </c>
      <c r="D180" s="7">
        <v>60</v>
      </c>
      <c r="E180" s="7">
        <v>0.8</v>
      </c>
      <c r="F180" s="7">
        <f t="shared" si="20"/>
        <v>48</v>
      </c>
      <c r="G180" s="7"/>
      <c r="H180" s="7"/>
      <c r="I180" s="7">
        <f t="shared" si="19"/>
        <v>48</v>
      </c>
      <c r="J180" s="7"/>
      <c r="K180" s="7"/>
      <c r="L180" s="7"/>
      <c r="M180" s="8"/>
      <c r="N180" s="9"/>
    </row>
    <row r="181" spans="1:14" x14ac:dyDescent="0.25">
      <c r="A181" s="13">
        <v>7</v>
      </c>
      <c r="B181" s="12" t="s">
        <v>75</v>
      </c>
      <c r="C181" s="7">
        <v>1</v>
      </c>
      <c r="D181" s="7">
        <v>2900</v>
      </c>
      <c r="E181" s="7">
        <v>1.18</v>
      </c>
      <c r="F181" s="7">
        <f t="shared" si="20"/>
        <v>3422</v>
      </c>
      <c r="G181" s="7">
        <f>F181</f>
        <v>3422</v>
      </c>
      <c r="H181" s="7"/>
      <c r="I181" s="7"/>
      <c r="J181" s="7"/>
      <c r="K181" s="7"/>
      <c r="L181" s="7"/>
      <c r="M181" s="8"/>
      <c r="N181" s="9"/>
    </row>
    <row r="182" spans="1:14" x14ac:dyDescent="0.25">
      <c r="A182" s="9"/>
      <c r="B182" s="9"/>
      <c r="C182" s="9"/>
      <c r="D182" s="9"/>
      <c r="E182" s="9"/>
      <c r="F182" s="9"/>
      <c r="G182" s="24">
        <f>SUM(G175:G181)</f>
        <v>3422</v>
      </c>
      <c r="H182" s="24">
        <f t="shared" ref="H182:L182" si="21">SUM(H175:H180)</f>
        <v>0</v>
      </c>
      <c r="I182" s="24">
        <f>SUM(I175:I181)</f>
        <v>3085.5500000000006</v>
      </c>
      <c r="J182" s="24">
        <f t="shared" si="21"/>
        <v>0</v>
      </c>
      <c r="K182" s="24">
        <f t="shared" si="21"/>
        <v>0</v>
      </c>
      <c r="L182" s="24">
        <f t="shared" si="21"/>
        <v>0</v>
      </c>
      <c r="M182" s="24"/>
      <c r="N182" s="9"/>
    </row>
    <row r="183" spans="1:14" x14ac:dyDescent="0.25">
      <c r="A183" s="9"/>
      <c r="B183" s="9"/>
      <c r="C183" s="9"/>
      <c r="D183" s="9"/>
      <c r="E183" s="9"/>
      <c r="F183" s="9"/>
      <c r="G183" s="24">
        <v>0.39500000000000002</v>
      </c>
      <c r="H183" s="24">
        <v>0.88880000000000003</v>
      </c>
      <c r="I183" s="24">
        <v>1.58</v>
      </c>
      <c r="J183" s="24">
        <v>2.4689999999999999</v>
      </c>
      <c r="K183" s="24">
        <v>3.85</v>
      </c>
      <c r="L183" s="24">
        <v>6.32</v>
      </c>
      <c r="M183" s="24"/>
      <c r="N183" s="9"/>
    </row>
    <row r="184" spans="1:14" x14ac:dyDescent="0.25">
      <c r="A184" s="9"/>
      <c r="B184" s="9"/>
      <c r="C184" s="9"/>
      <c r="D184" s="9"/>
      <c r="E184" s="9"/>
      <c r="F184" s="23">
        <v>0.05</v>
      </c>
      <c r="G184" s="21">
        <f>G183*G182</f>
        <v>1351.69</v>
      </c>
      <c r="H184" s="24">
        <f>H182*H183</f>
        <v>0</v>
      </c>
      <c r="I184" s="24">
        <f>I182*I183</f>
        <v>4875.1690000000008</v>
      </c>
      <c r="J184" s="11">
        <f>J182*J183</f>
        <v>0</v>
      </c>
      <c r="K184" s="24">
        <f>K182*K183</f>
        <v>0</v>
      </c>
      <c r="L184" s="24">
        <f>L183*L182</f>
        <v>0</v>
      </c>
      <c r="M184" s="24"/>
      <c r="N184" s="9"/>
    </row>
    <row r="185" spans="1:14" x14ac:dyDescent="0.25">
      <c r="F185" s="1"/>
      <c r="G185" s="17">
        <f>F184*G184</f>
        <v>67.584500000000006</v>
      </c>
      <c r="H185" s="16">
        <f>F184*H184</f>
        <v>0</v>
      </c>
      <c r="I185" s="16">
        <f>F184*I184</f>
        <v>243.75845000000004</v>
      </c>
      <c r="J185" s="26">
        <f>F184*J184</f>
        <v>0</v>
      </c>
      <c r="K185" s="16">
        <f>K184*F184</f>
        <v>0</v>
      </c>
      <c r="L185" s="17">
        <f>F184*L184</f>
        <v>0</v>
      </c>
      <c r="M185" s="27"/>
    </row>
    <row r="186" spans="1:14" ht="15.75" x14ac:dyDescent="0.25">
      <c r="F186" s="1"/>
      <c r="G186" s="30">
        <f t="shared" ref="G186:L186" si="22">SUM(G184:G185)</f>
        <v>1419.2745</v>
      </c>
      <c r="H186" s="30">
        <f t="shared" si="22"/>
        <v>0</v>
      </c>
      <c r="I186" s="30">
        <f t="shared" si="22"/>
        <v>5118.927450000001</v>
      </c>
      <c r="J186" s="30">
        <f t="shared" si="22"/>
        <v>0</v>
      </c>
      <c r="K186" s="29">
        <f t="shared" si="22"/>
        <v>0</v>
      </c>
      <c r="L186" s="29">
        <f t="shared" si="22"/>
        <v>0</v>
      </c>
      <c r="M186" s="28">
        <f>G186+H186+I186+J186+K186+L186</f>
        <v>6538.2019500000006</v>
      </c>
    </row>
    <row r="189" spans="1:14" x14ac:dyDescent="0.25">
      <c r="A189" s="49" t="s">
        <v>76</v>
      </c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 spans="1:14" x14ac:dyDescent="0.25">
      <c r="A190" s="5" t="s">
        <v>0</v>
      </c>
      <c r="B190" s="5" t="s">
        <v>1</v>
      </c>
      <c r="C190" s="5" t="s">
        <v>4</v>
      </c>
      <c r="D190" s="5" t="s">
        <v>12</v>
      </c>
      <c r="E190" s="5" t="s">
        <v>2</v>
      </c>
      <c r="F190" s="5" t="s">
        <v>3</v>
      </c>
      <c r="G190" s="5" t="s">
        <v>5</v>
      </c>
      <c r="H190" s="5" t="s">
        <v>73</v>
      </c>
      <c r="I190" s="5" t="s">
        <v>74</v>
      </c>
      <c r="J190" s="5" t="s">
        <v>8</v>
      </c>
      <c r="K190" s="5" t="s">
        <v>9</v>
      </c>
      <c r="L190" s="5" t="s">
        <v>10</v>
      </c>
      <c r="M190" s="5" t="s">
        <v>13</v>
      </c>
      <c r="N190" s="32"/>
    </row>
    <row r="191" spans="1:14" x14ac:dyDescent="0.25">
      <c r="A191" s="13">
        <v>1</v>
      </c>
      <c r="B191" s="25"/>
      <c r="C191" s="7">
        <v>2</v>
      </c>
      <c r="D191" s="7">
        <v>200</v>
      </c>
      <c r="E191" s="7">
        <v>76</v>
      </c>
      <c r="F191" s="7">
        <f>C191*D191*E191</f>
        <v>30400</v>
      </c>
      <c r="G191" s="7">
        <f>F191</f>
        <v>30400</v>
      </c>
      <c r="H191" s="7"/>
      <c r="I191" s="7"/>
      <c r="J191" s="7"/>
      <c r="K191" s="7"/>
      <c r="L191" s="7"/>
      <c r="M191" s="8"/>
      <c r="N191" s="9"/>
    </row>
    <row r="192" spans="1:14" x14ac:dyDescent="0.25">
      <c r="A192" s="13">
        <v>2</v>
      </c>
      <c r="B192" s="12"/>
      <c r="C192" s="7">
        <v>2</v>
      </c>
      <c r="D192" s="7">
        <v>375</v>
      </c>
      <c r="E192" s="7">
        <v>38.4</v>
      </c>
      <c r="F192" s="7">
        <f>C192*D192*E192</f>
        <v>28800</v>
      </c>
      <c r="G192" s="7">
        <f>F192</f>
        <v>28800</v>
      </c>
      <c r="H192" s="7"/>
      <c r="I192" s="7"/>
      <c r="J192" s="7"/>
      <c r="K192" s="7"/>
      <c r="L192" s="7"/>
      <c r="M192" s="8"/>
      <c r="N192" s="9"/>
    </row>
    <row r="193" spans="1:14" x14ac:dyDescent="0.25">
      <c r="A193" s="13">
        <v>3</v>
      </c>
      <c r="B193" s="25"/>
      <c r="C193" s="7">
        <v>1</v>
      </c>
      <c r="D193" s="7">
        <v>575</v>
      </c>
      <c r="E193" s="7">
        <v>0.4</v>
      </c>
      <c r="F193" s="7">
        <f>C193*D193*E193</f>
        <v>230</v>
      </c>
      <c r="G193" s="7">
        <f>F193</f>
        <v>230</v>
      </c>
      <c r="H193" s="7"/>
      <c r="I193" s="7"/>
      <c r="J193" s="7"/>
      <c r="K193" s="7"/>
      <c r="L193" s="7"/>
      <c r="M193" s="8"/>
      <c r="N193" s="9"/>
    </row>
    <row r="194" spans="1:14" x14ac:dyDescent="0.25">
      <c r="A194" s="13">
        <v>4</v>
      </c>
      <c r="B194" s="12"/>
      <c r="C194" s="7">
        <v>1</v>
      </c>
      <c r="D194" s="7">
        <v>2000</v>
      </c>
      <c r="E194" s="7">
        <v>1.2</v>
      </c>
      <c r="F194" s="7">
        <f>C194*D194*E194</f>
        <v>2400</v>
      </c>
      <c r="G194" s="7">
        <f>F194</f>
        <v>2400</v>
      </c>
      <c r="H194" s="7"/>
      <c r="I194" s="7"/>
      <c r="J194" s="7"/>
      <c r="K194" s="7"/>
      <c r="L194" s="7"/>
      <c r="M194" s="8"/>
      <c r="N194" s="9"/>
    </row>
    <row r="195" spans="1:14" x14ac:dyDescent="0.25">
      <c r="A195" s="9"/>
      <c r="B195" s="9"/>
      <c r="C195" s="9"/>
      <c r="D195" s="9"/>
      <c r="E195" s="9"/>
      <c r="F195" s="9"/>
      <c r="G195" s="31">
        <f t="shared" ref="G195:L195" si="23">SUM(G191:G194)</f>
        <v>61830</v>
      </c>
      <c r="H195" s="31">
        <f t="shared" si="23"/>
        <v>0</v>
      </c>
      <c r="I195" s="31">
        <f t="shared" si="23"/>
        <v>0</v>
      </c>
      <c r="J195" s="31">
        <f t="shared" si="23"/>
        <v>0</v>
      </c>
      <c r="K195" s="31">
        <f t="shared" si="23"/>
        <v>0</v>
      </c>
      <c r="L195" s="31">
        <f t="shared" si="23"/>
        <v>0</v>
      </c>
      <c r="M195" s="31"/>
      <c r="N195" s="9"/>
    </row>
    <row r="196" spans="1:14" x14ac:dyDescent="0.25">
      <c r="A196" s="9"/>
      <c r="B196" s="9"/>
      <c r="C196" s="9"/>
      <c r="D196" s="9"/>
      <c r="E196" s="9"/>
      <c r="F196" s="9"/>
      <c r="G196" s="31">
        <v>0.39500000000000002</v>
      </c>
      <c r="H196" s="31">
        <v>0.88880000000000003</v>
      </c>
      <c r="I196" s="31">
        <v>1.58</v>
      </c>
      <c r="J196" s="31">
        <v>2.4689999999999999</v>
      </c>
      <c r="K196" s="31">
        <v>3.85</v>
      </c>
      <c r="L196" s="31">
        <v>6.32</v>
      </c>
      <c r="M196" s="31"/>
      <c r="N196" s="9"/>
    </row>
    <row r="197" spans="1:14" x14ac:dyDescent="0.25">
      <c r="A197" s="9"/>
      <c r="B197" s="9"/>
      <c r="C197" s="9"/>
      <c r="D197" s="9"/>
      <c r="E197" s="9"/>
      <c r="F197" s="23">
        <v>0.05</v>
      </c>
      <c r="G197" s="21">
        <f>G196*G195</f>
        <v>24422.850000000002</v>
      </c>
      <c r="H197" s="31">
        <f>H195*H196</f>
        <v>0</v>
      </c>
      <c r="I197" s="31">
        <f>I195*I196</f>
        <v>0</v>
      </c>
      <c r="J197" s="11">
        <f>J195*J196</f>
        <v>0</v>
      </c>
      <c r="K197" s="31">
        <f>K195*K196</f>
        <v>0</v>
      </c>
      <c r="L197" s="31">
        <f>L196*L195</f>
        <v>0</v>
      </c>
      <c r="M197" s="31"/>
      <c r="N197" s="9"/>
    </row>
    <row r="198" spans="1:14" x14ac:dyDescent="0.25">
      <c r="F198" s="1"/>
      <c r="G198" s="17">
        <f>F197*G197</f>
        <v>1221.1425000000002</v>
      </c>
      <c r="H198" s="16">
        <f>F197*H197</f>
        <v>0</v>
      </c>
      <c r="I198" s="16">
        <f>F197*I197</f>
        <v>0</v>
      </c>
      <c r="J198" s="26">
        <f>F197*J197</f>
        <v>0</v>
      </c>
      <c r="K198" s="16">
        <f>K197*F197</f>
        <v>0</v>
      </c>
      <c r="L198" s="17">
        <f>F197*L197</f>
        <v>0</v>
      </c>
      <c r="M198" s="27"/>
    </row>
    <row r="199" spans="1:14" ht="15.75" x14ac:dyDescent="0.25">
      <c r="F199" s="1"/>
      <c r="G199" s="30">
        <f t="shared" ref="G199:L199" si="24">SUM(G197:G198)</f>
        <v>25643.992500000004</v>
      </c>
      <c r="H199" s="30">
        <f t="shared" si="24"/>
        <v>0</v>
      </c>
      <c r="I199" s="30">
        <f t="shared" si="24"/>
        <v>0</v>
      </c>
      <c r="J199" s="30">
        <f t="shared" si="24"/>
        <v>0</v>
      </c>
      <c r="K199" s="29">
        <f t="shared" si="24"/>
        <v>0</v>
      </c>
      <c r="L199" s="29">
        <f t="shared" si="24"/>
        <v>0</v>
      </c>
      <c r="M199" s="28">
        <f>G199+H199+I199+J199+K199+L199</f>
        <v>25643.992500000004</v>
      </c>
    </row>
    <row r="206" spans="1:14" x14ac:dyDescent="0.25">
      <c r="A206" s="49" t="s">
        <v>86</v>
      </c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 spans="1:14" x14ac:dyDescent="0.25">
      <c r="A207" s="5" t="s">
        <v>0</v>
      </c>
      <c r="B207" s="5" t="s">
        <v>1</v>
      </c>
      <c r="C207" s="5" t="s">
        <v>4</v>
      </c>
      <c r="D207" s="5" t="s">
        <v>12</v>
      </c>
      <c r="E207" s="5" t="s">
        <v>2</v>
      </c>
      <c r="F207" s="5" t="s">
        <v>3</v>
      </c>
      <c r="G207" s="5" t="s">
        <v>5</v>
      </c>
      <c r="H207" s="5" t="s">
        <v>61</v>
      </c>
      <c r="I207" s="5" t="s">
        <v>87</v>
      </c>
      <c r="J207" s="5" t="s">
        <v>8</v>
      </c>
      <c r="K207" s="5" t="s">
        <v>9</v>
      </c>
      <c r="L207" s="5" t="s">
        <v>10</v>
      </c>
      <c r="M207" s="5" t="s">
        <v>13</v>
      </c>
      <c r="N207" s="40"/>
    </row>
    <row r="208" spans="1:14" x14ac:dyDescent="0.25">
      <c r="A208" s="13">
        <v>1</v>
      </c>
      <c r="B208" s="12" t="s">
        <v>77</v>
      </c>
      <c r="C208" s="7">
        <v>14</v>
      </c>
      <c r="D208" s="7">
        <v>35</v>
      </c>
      <c r="E208" s="7">
        <v>1.5</v>
      </c>
      <c r="F208" s="7">
        <f>C208*D208*E208</f>
        <v>735</v>
      </c>
      <c r="G208" s="7"/>
      <c r="H208" s="7">
        <f>F208</f>
        <v>735</v>
      </c>
      <c r="I208" s="7"/>
      <c r="J208" s="7"/>
      <c r="K208" s="7"/>
      <c r="L208" s="7"/>
      <c r="M208" s="8"/>
      <c r="N208" s="9"/>
    </row>
    <row r="209" spans="1:14" x14ac:dyDescent="0.25">
      <c r="A209" s="13">
        <v>2</v>
      </c>
      <c r="B209" s="12" t="s">
        <v>88</v>
      </c>
      <c r="C209" s="7">
        <v>8</v>
      </c>
      <c r="D209" s="7">
        <v>35</v>
      </c>
      <c r="E209" s="7">
        <v>0.6</v>
      </c>
      <c r="F209" s="7">
        <f>C209*D209*E209</f>
        <v>168</v>
      </c>
      <c r="G209" s="7"/>
      <c r="H209" s="7"/>
      <c r="I209" s="7">
        <f>F209</f>
        <v>168</v>
      </c>
      <c r="J209" s="7"/>
      <c r="K209" s="7"/>
      <c r="L209" s="7"/>
      <c r="M209" s="8"/>
      <c r="N209" s="9"/>
    </row>
    <row r="210" spans="1:14" x14ac:dyDescent="0.25">
      <c r="A210" s="13">
        <v>3</v>
      </c>
      <c r="B210" s="12" t="s">
        <v>89</v>
      </c>
      <c r="C210" s="7">
        <v>3</v>
      </c>
      <c r="D210" s="7">
        <v>35</v>
      </c>
      <c r="E210" s="7">
        <v>1.03</v>
      </c>
      <c r="F210" s="7">
        <f>C210*D210*E210</f>
        <v>108.15</v>
      </c>
      <c r="G210" s="7">
        <f>F210</f>
        <v>108.15</v>
      </c>
      <c r="H210" s="7"/>
      <c r="I210" s="7"/>
      <c r="J210" s="7"/>
      <c r="K210" s="7"/>
      <c r="L210" s="7"/>
      <c r="M210" s="8"/>
      <c r="N210" s="9"/>
    </row>
    <row r="211" spans="1:14" x14ac:dyDescent="0.25">
      <c r="A211" s="9"/>
      <c r="B211" s="9"/>
      <c r="C211" s="9"/>
      <c r="D211" s="9"/>
      <c r="E211" s="9"/>
      <c r="F211" s="9"/>
      <c r="G211" s="41">
        <f t="shared" ref="G211:L211" si="25">SUM(G208:G210)</f>
        <v>108.15</v>
      </c>
      <c r="H211" s="41">
        <f t="shared" si="25"/>
        <v>735</v>
      </c>
      <c r="I211" s="41">
        <f t="shared" si="25"/>
        <v>168</v>
      </c>
      <c r="J211" s="41">
        <f t="shared" si="25"/>
        <v>0</v>
      </c>
      <c r="K211" s="41">
        <f t="shared" si="25"/>
        <v>0</v>
      </c>
      <c r="L211" s="41">
        <f t="shared" si="25"/>
        <v>0</v>
      </c>
      <c r="M211" s="41"/>
      <c r="N211" s="9"/>
    </row>
    <row r="212" spans="1:14" x14ac:dyDescent="0.25">
      <c r="A212" s="9"/>
      <c r="B212" s="9"/>
      <c r="C212" s="9"/>
      <c r="D212" s="9"/>
      <c r="E212" s="9"/>
      <c r="F212" s="9"/>
      <c r="G212" s="41">
        <v>0.39500000000000002</v>
      </c>
      <c r="H212" s="41">
        <v>0.61699999999999999</v>
      </c>
      <c r="I212" s="41">
        <v>0.88800000000000001</v>
      </c>
      <c r="J212" s="41">
        <v>2.4689999999999999</v>
      </c>
      <c r="K212" s="41">
        <v>3.85</v>
      </c>
      <c r="L212" s="41">
        <v>6.32</v>
      </c>
      <c r="M212" s="41"/>
      <c r="N212" s="9"/>
    </row>
    <row r="213" spans="1:14" x14ac:dyDescent="0.25">
      <c r="A213" s="9"/>
      <c r="B213" s="9"/>
      <c r="C213" s="9"/>
      <c r="D213" s="9"/>
      <c r="E213" s="9"/>
      <c r="F213" s="23">
        <v>0.05</v>
      </c>
      <c r="G213" s="21">
        <f>G212*G211</f>
        <v>42.719250000000002</v>
      </c>
      <c r="H213" s="41">
        <f>H211*H212</f>
        <v>453.495</v>
      </c>
      <c r="I213" s="41">
        <f>I211*I212</f>
        <v>149.184</v>
      </c>
      <c r="J213" s="11">
        <f>J211*J212</f>
        <v>0</v>
      </c>
      <c r="K213" s="41">
        <f>K211*K212</f>
        <v>0</v>
      </c>
      <c r="L213" s="41">
        <f>L212*L211</f>
        <v>0</v>
      </c>
      <c r="M213" s="41"/>
      <c r="N213" s="9"/>
    </row>
    <row r="214" spans="1:14" x14ac:dyDescent="0.25">
      <c r="F214" s="42"/>
      <c r="G214" s="17">
        <f>F213*G213</f>
        <v>2.1359625000000002</v>
      </c>
      <c r="H214" s="16">
        <f>F213*H213</f>
        <v>22.674750000000003</v>
      </c>
      <c r="I214" s="16">
        <f>F213*I213</f>
        <v>7.4592000000000001</v>
      </c>
      <c r="J214" s="26">
        <f>F213*J213</f>
        <v>0</v>
      </c>
      <c r="K214" s="16">
        <f>K213*F213</f>
        <v>0</v>
      </c>
      <c r="L214" s="17">
        <f>F213*L213</f>
        <v>0</v>
      </c>
      <c r="M214" s="27"/>
    </row>
    <row r="215" spans="1:14" ht="15.75" x14ac:dyDescent="0.25">
      <c r="F215" s="42"/>
      <c r="G215" s="30">
        <f t="shared" ref="G215:L215" si="26">SUM(G213:G214)</f>
        <v>44.8552125</v>
      </c>
      <c r="H215" s="30">
        <f t="shared" si="26"/>
        <v>476.16975000000002</v>
      </c>
      <c r="I215" s="30">
        <f t="shared" si="26"/>
        <v>156.64320000000001</v>
      </c>
      <c r="J215" s="30">
        <f t="shared" si="26"/>
        <v>0</v>
      </c>
      <c r="K215" s="29">
        <f t="shared" si="26"/>
        <v>0</v>
      </c>
      <c r="L215" s="29">
        <f t="shared" si="26"/>
        <v>0</v>
      </c>
      <c r="M215" s="28">
        <f>G215+H215+I215+J215+K215+L215</f>
        <v>677.66816249999999</v>
      </c>
    </row>
    <row r="238" spans="5:6" x14ac:dyDescent="0.25">
      <c r="E238" s="53"/>
      <c r="F238" s="53"/>
    </row>
    <row r="239" spans="5:6" x14ac:dyDescent="0.25">
      <c r="E239" s="39"/>
      <c r="F239" s="39"/>
    </row>
    <row r="240" spans="5:6" x14ac:dyDescent="0.25">
      <c r="E240" s="39"/>
      <c r="F240" s="39"/>
    </row>
    <row r="241" spans="2:13" x14ac:dyDescent="0.25">
      <c r="E241" s="43"/>
      <c r="F241" s="43"/>
    </row>
    <row r="242" spans="2:13" x14ac:dyDescent="0.25">
      <c r="B242" s="54" t="s">
        <v>91</v>
      </c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</row>
    <row r="243" spans="2:13" x14ac:dyDescent="0.25">
      <c r="B243" s="58" t="s">
        <v>92</v>
      </c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</row>
    <row r="244" spans="2:13" s="33" customFormat="1" x14ac:dyDescent="0.25">
      <c r="B244" s="46" t="s">
        <v>0</v>
      </c>
      <c r="C244" s="52" t="s">
        <v>80</v>
      </c>
      <c r="D244" s="52"/>
      <c r="E244" s="52"/>
      <c r="F244" s="47" t="s">
        <v>5</v>
      </c>
      <c r="G244" s="47" t="s">
        <v>61</v>
      </c>
      <c r="H244" s="47" t="s">
        <v>6</v>
      </c>
      <c r="I244" s="47" t="s">
        <v>7</v>
      </c>
      <c r="J244" s="47" t="s">
        <v>8</v>
      </c>
      <c r="K244" s="47" t="s">
        <v>9</v>
      </c>
      <c r="L244" s="47" t="s">
        <v>10</v>
      </c>
      <c r="M244" s="48" t="s">
        <v>78</v>
      </c>
    </row>
    <row r="245" spans="2:13" x14ac:dyDescent="0.25">
      <c r="B245" s="38">
        <v>1</v>
      </c>
      <c r="C245" s="51" t="s">
        <v>77</v>
      </c>
      <c r="D245" s="51"/>
      <c r="E245" s="51"/>
      <c r="F245" s="34"/>
      <c r="G245" s="34"/>
      <c r="H245" s="35">
        <f>H29</f>
        <v>17328.4376496</v>
      </c>
      <c r="I245" s="34">
        <f>I29</f>
        <v>21363.357749999999</v>
      </c>
      <c r="J245" s="35">
        <f>J29</f>
        <v>15643.361789999999</v>
      </c>
      <c r="K245" s="34"/>
      <c r="L245" s="34"/>
      <c r="M245" s="35">
        <f>SUM(F245:L245)</f>
        <v>54335.157189599995</v>
      </c>
    </row>
    <row r="246" spans="2:13" x14ac:dyDescent="0.25">
      <c r="B246" s="38">
        <v>2</v>
      </c>
      <c r="C246" s="51" t="s">
        <v>79</v>
      </c>
      <c r="D246" s="51"/>
      <c r="E246" s="51"/>
      <c r="F246" s="34"/>
      <c r="G246" s="34"/>
      <c r="H246" s="35">
        <f>H65</f>
        <v>2132.9760144000002</v>
      </c>
      <c r="I246" s="34">
        <f>I65</f>
        <v>1700.6408999999999</v>
      </c>
      <c r="J246" s="35">
        <f>J65</f>
        <v>2062.5532199999998</v>
      </c>
      <c r="K246" s="34"/>
      <c r="L246" s="34"/>
      <c r="M246" s="35">
        <f t="shared" ref="M246:M252" si="27">SUM(F246:L246)</f>
        <v>5896.1701343999994</v>
      </c>
    </row>
    <row r="247" spans="2:13" x14ac:dyDescent="0.25">
      <c r="B247" s="38">
        <v>3</v>
      </c>
      <c r="C247" s="55" t="s">
        <v>90</v>
      </c>
      <c r="D247" s="56"/>
      <c r="E247" s="57"/>
      <c r="F247" s="35">
        <f>G215</f>
        <v>44.8552125</v>
      </c>
      <c r="G247" s="35">
        <f>H215</f>
        <v>476.16975000000002</v>
      </c>
      <c r="H247" s="35">
        <f>I215</f>
        <v>156.64320000000001</v>
      </c>
      <c r="I247" s="34"/>
      <c r="J247" s="35"/>
      <c r="K247" s="34"/>
      <c r="L247" s="34"/>
      <c r="M247" s="35">
        <f>F247+G247+H247</f>
        <v>677.66816249999999</v>
      </c>
    </row>
    <row r="248" spans="2:13" x14ac:dyDescent="0.25">
      <c r="B248" s="38">
        <v>4</v>
      </c>
      <c r="C248" s="51" t="s">
        <v>81</v>
      </c>
      <c r="D248" s="51"/>
      <c r="E248" s="51"/>
      <c r="F248" s="36">
        <f>G120</f>
        <v>2401.7508900000003</v>
      </c>
      <c r="G248" s="34"/>
      <c r="H248" s="34"/>
      <c r="I248" s="34">
        <f>I120</f>
        <v>298.62000000000006</v>
      </c>
      <c r="J248" s="35">
        <f>J120</f>
        <v>2924.2835999999998</v>
      </c>
      <c r="K248" s="34">
        <f>K120</f>
        <v>9507.9600000000009</v>
      </c>
      <c r="L248" s="34">
        <f>L120</f>
        <v>6689.0880000000006</v>
      </c>
      <c r="M248" s="35">
        <f t="shared" si="27"/>
        <v>21821.70249</v>
      </c>
    </row>
    <row r="249" spans="2:13" x14ac:dyDescent="0.25">
      <c r="B249" s="38">
        <v>5</v>
      </c>
      <c r="C249" s="51" t="s">
        <v>82</v>
      </c>
      <c r="D249" s="51"/>
      <c r="E249" s="51"/>
      <c r="F249" s="35">
        <f>G154</f>
        <v>1112.6913000000002</v>
      </c>
      <c r="G249" s="35">
        <f>H154</f>
        <v>3434.3232000000003</v>
      </c>
      <c r="H249" s="34"/>
      <c r="I249" s="35">
        <f>I154</f>
        <v>373.27499999999998</v>
      </c>
      <c r="J249" s="34"/>
      <c r="K249" s="34"/>
      <c r="L249" s="34"/>
      <c r="M249" s="35">
        <f t="shared" si="27"/>
        <v>4920.2894999999999</v>
      </c>
    </row>
    <row r="250" spans="2:13" x14ac:dyDescent="0.25">
      <c r="B250" s="38">
        <v>6</v>
      </c>
      <c r="C250" s="51" t="s">
        <v>83</v>
      </c>
      <c r="D250" s="51"/>
      <c r="E250" s="51"/>
      <c r="F250" s="35">
        <f>G170</f>
        <v>13722.83325</v>
      </c>
      <c r="G250" s="35">
        <f>H170</f>
        <v>14819.851200000001</v>
      </c>
      <c r="H250" s="35">
        <f>I170</f>
        <v>26275.242000000002</v>
      </c>
      <c r="I250" s="34"/>
      <c r="J250" s="34"/>
      <c r="K250" s="34"/>
      <c r="L250" s="34"/>
      <c r="M250" s="35">
        <f t="shared" si="27"/>
        <v>54817.926449999999</v>
      </c>
    </row>
    <row r="251" spans="2:13" x14ac:dyDescent="0.25">
      <c r="B251" s="38">
        <v>7</v>
      </c>
      <c r="C251" s="51" t="s">
        <v>84</v>
      </c>
      <c r="D251" s="51"/>
      <c r="E251" s="51"/>
      <c r="F251" s="35">
        <f>G186</f>
        <v>1419.2745</v>
      </c>
      <c r="G251" s="35"/>
      <c r="H251" s="35"/>
      <c r="I251" s="35">
        <f>I186</f>
        <v>5118.927450000001</v>
      </c>
      <c r="J251" s="34"/>
      <c r="K251" s="34"/>
      <c r="L251" s="34"/>
      <c r="M251" s="35">
        <f t="shared" si="27"/>
        <v>6538.2019500000006</v>
      </c>
    </row>
    <row r="252" spans="2:13" x14ac:dyDescent="0.25">
      <c r="B252" s="38">
        <v>8</v>
      </c>
      <c r="C252" s="51" t="s">
        <v>85</v>
      </c>
      <c r="D252" s="51"/>
      <c r="E252" s="51"/>
      <c r="F252" s="35">
        <f>G199</f>
        <v>25643.992500000004</v>
      </c>
      <c r="G252" s="35"/>
      <c r="H252" s="35"/>
      <c r="I252" s="34"/>
      <c r="J252" s="34"/>
      <c r="K252" s="34"/>
      <c r="L252" s="34"/>
      <c r="M252" s="35">
        <f t="shared" si="27"/>
        <v>25643.992500000004</v>
      </c>
    </row>
    <row r="253" spans="2:13" x14ac:dyDescent="0.25">
      <c r="M253" s="37">
        <f>SUM(M245:M252)</f>
        <v>174651.10837649999</v>
      </c>
    </row>
  </sheetData>
  <mergeCells count="20">
    <mergeCell ref="C250:E250"/>
    <mergeCell ref="C244:E244"/>
    <mergeCell ref="C251:E251"/>
    <mergeCell ref="C252:E252"/>
    <mergeCell ref="A189:N189"/>
    <mergeCell ref="E238:F238"/>
    <mergeCell ref="B242:M242"/>
    <mergeCell ref="C245:E245"/>
    <mergeCell ref="C246:E246"/>
    <mergeCell ref="C248:E248"/>
    <mergeCell ref="C249:E249"/>
    <mergeCell ref="A206:N206"/>
    <mergeCell ref="C247:E247"/>
    <mergeCell ref="B243:M243"/>
    <mergeCell ref="A173:N173"/>
    <mergeCell ref="A1:N1"/>
    <mergeCell ref="A39:N39"/>
    <mergeCell ref="A69:N69"/>
    <mergeCell ref="A137:N137"/>
    <mergeCell ref="A156:N156"/>
  </mergeCells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0" sqref="L2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Prakash</cp:lastModifiedBy>
  <cp:lastPrinted>2007-12-31T18:34:32Z</cp:lastPrinted>
  <dcterms:created xsi:type="dcterms:W3CDTF">2007-12-31T18:31:27Z</dcterms:created>
  <dcterms:modified xsi:type="dcterms:W3CDTF">2007-12-31T18:35:08Z</dcterms:modified>
</cp:coreProperties>
</file>